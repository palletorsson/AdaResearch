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e760a0b4d649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manställning" sheetId="1" r:id="Rac80e06dc24346aa"/>
    <x:sheet xmlns:r="http://schemas.openxmlformats.org/officeDocument/2006/relationships" name="Lånedetaljer" sheetId="2" r:id="R9d7cb4ac2d8e4dad"/>
    <x:sheet xmlns:r="http://schemas.openxmlformats.org/officeDocument/2006/relationships" name="Aviöversikt" sheetId="3" r:id="Rdf5e0cecbc6b4838"/>
    <x:sheet xmlns:r="http://schemas.openxmlformats.org/officeDocument/2006/relationships" name="Källor" sheetId="4" r:id="Rf3b3cfae13dd45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"/>
    <x:numFmt numFmtId="202" formatCode="0.000%"/>
    <x:numFmt numFmtId="203" formatCode="0"/>
    <x:numFmt numFmtId="204" formatCode="@"/>
    <x:numFmt numFmtId="205" formatCode="#,##0.0"/>
  </x:numFmts>
  <x:fonts count="11">
    <x:font>
      <x:sz val="11"/>
      <x:name val="Carlito"/>
    </x:font>
    <x:font>
      <x:sz val="10"/>
      <x:color rgb="FF000000"/>
      <x:name val="Arial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008000"/>
      <x:name val="Arial"/>
    </x:font>
    <x:font>
      <x:b/>
      <x:sz val="10"/>
      <x:color rgb="FF000000"/>
      <x:name val="Arial"/>
    </x:font>
    <x:font>
      <x:b/>
      <x:sz val="9"/>
      <x:color rgb="FF666666"/>
      <x:name val="Arial"/>
    </x:font>
    <x:font>
      <x:b/>
      <x:sz val="12"/>
      <x:color rgb="FF17365D"/>
      <x:name val="Arial"/>
    </x:font>
    <x:font>
      <x:b/>
      <x:sz val="12"/>
      <x:color rgb="FF008000"/>
      <x:name val="Arial"/>
    </x:font>
    <x:font>
      <x:i/>
      <x:sz val="9"/>
      <x:color rgb="FF66666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2F2F2"/>
      </x:patternFill>
    </x:fill>
    <x:fill>
      <x:patternFill patternType="solid">
        <x:fgColor rgb="FFEAF2F8"/>
      </x:patternFill>
    </x:fill>
    <x:fill>
      <x:patternFill patternType="solid">
        <x:fgColor rgb="FF17365D"/>
      </x:patternFill>
    </x:fill>
  </x:fills>
  <x:borders count="10">
    <x:border/>
    <x:border>
      <x:bottom style="thin">
        <x:color rgb="FF1F4E78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top style="thin">
        <x:color rgb="FF17365D"/>
      </x:top>
      <x:bottom style="double">
        <x:color rgb="FF17365D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4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4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202" fontId="1" fillId="0" borderId="0" xfId="0" applyNumberFormat="1" applyFont="1" applyFill="1" applyBorder="1" applyAlignment="1">
      <x:alignment vertical="top"/>
    </x:xf>
    <x:xf numFmtId="203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4" fontId="1" fillId="0" borderId="0" xfId="0" applyNumberFormat="1" applyFont="1" applyFill="1" applyBorder="1"/>
    <x:xf numFmtId="201" fontId="5" fillId="0" borderId="0" xfId="0" applyNumberFormat="1" applyFont="1" applyFill="1" applyBorder="1"/>
    <x:xf numFmtId="0" fontId="6" fillId="0" borderId="0" xfId="0" applyNumberFormat="1" applyFont="1" applyFill="1" applyBorder="1"/>
    <x:xf numFmtId="201" fontId="6" fillId="0" borderId="0" xfId="0" applyNumberFormat="1" applyFont="1" applyFill="1" applyBorder="1"/>
    <x:xf numFmtId="0" fontId="6" fillId="3" borderId="0" xfId="0" applyNumberFormat="1" applyFont="1" applyFill="1" applyBorder="1"/>
    <x:xf numFmtId="201" fontId="6" fillId="3" borderId="0" xfId="0" applyNumberFormat="1" applyFont="1" applyFill="1" applyBorder="1"/>
    <x:xf numFmtId="0" fontId="6" fillId="3" borderId="5" xfId="0" applyNumberFormat="1" applyFont="1" applyFill="1" applyBorder="1"/>
    <x:xf numFmtId="201" fontId="6" fillId="3" borderId="5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5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6" xfId="0" applyNumberFormat="1" applyFont="1" applyFill="1" applyBorder="1"/>
    <x:xf numFmtId="0" fontId="7" fillId="3" borderId="6" xfId="0" applyNumberFormat="1" applyFont="1" applyFill="1" applyBorder="1" applyAlignment="1">
      <x:alignment wrapText="1"/>
    </x:xf>
    <x:xf numFmtId="0" fontId="7" fillId="3" borderId="6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6" xfId="0" applyNumberFormat="1" applyFont="1" applyFill="1" applyBorder="1"/>
    <x:xf numFmtId="201" fontId="8" fillId="4" borderId="6" xfId="0" applyNumberFormat="1" applyFont="1" applyFill="1" applyBorder="1"/>
    <x:xf numFmtId="201" fontId="8" fillId="4" borderId="6" xfId="0" applyNumberFormat="1" applyFont="1" applyFill="1" applyBorder="1" applyAlignment="1">
      <x:alignment horizontal="right"/>
    </x:xf>
    <x:xf numFmtId="201" fontId="8" fillId="4" borderId="6" xfId="0" applyNumberFormat="1" applyFont="1" applyFill="1" applyBorder="1" applyAlignment="1">
      <x:alignment horizontal="right" vertical="center"/>
    </x:xf>
    <x:xf numFmtId="201" fontId="9" fillId="4" borderId="6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7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0" fontId="4" fillId="5" borderId="9" xfId="0" applyNumberFormat="1" applyFont="1" applyFill="1" applyBorder="1" applyAlignment="1">
      <x:alignment vertical="center"/>
    </x:xf>
    <x:xf numFmtId="203" fontId="6" fillId="3" borderId="5" xfId="0" applyNumberFormat="1" applyFont="1" applyFill="1" applyBorder="1"/>
    <x:xf numFmtId="203" fontId="5" fillId="0" borderId="0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666666"/>
      </x:font>
      <x:fill>
        <x:patternFill patternType="solid">
          <x:bgColor rgb="FFF2F2F2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666666"/>
      </x:font>
      <x:fill>
        <x:patternFill patternType="solid"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d9ca1acd7b4319" /><Relationship Type="http://schemas.openxmlformats.org/officeDocument/2006/relationships/theme" Target="/xl/theme/theme1.xml" Id="R49520db7518d4845" /><Relationship Type="http://schemas.openxmlformats.org/officeDocument/2006/relationships/sharedStrings" Target="/xl/sharedStrings.xml" Id="R2d418b3e552f4c55" /><Relationship Type="http://schemas.openxmlformats.org/officeDocument/2006/relationships/worksheet" Target="/xl/worksheets/sheet1.xml" Id="Rac80e06dc24346aa" /><Relationship Type="http://schemas.openxmlformats.org/officeDocument/2006/relationships/worksheet" Target="/xl/worksheets/sheet2.xml" Id="R9d7cb4ac2d8e4dad" /><Relationship Type="http://schemas.openxmlformats.org/officeDocument/2006/relationships/worksheet" Target="/xl/worksheets/sheet3.xml" Id="Rdf5e0cecbc6b4838" /><Relationship Type="http://schemas.openxmlformats.org/officeDocument/2006/relationships/worksheet" Target="/xl/worksheets/sheet4.xml" Id="Rf3b3cfae13dd4538" /></Relationships>
</file>

<file path=xl/tables/table1.xml><?xml version="1.0" encoding="utf-8"?>
<x:table xmlns:x="http://schemas.openxmlformats.org/spreadsheetml/2006/main" id="4" name="LoanSummaryTable" displayName="LoanSummaryTable" ref="A8:O15" headerRowCount="1" totalsRowCount="0" totalsRowShown="0">
  <x:tableColumns count="15">
    <x:tableColumn id="1" name="Typ"/>
    <x:tableColumn id="2" name="Långivare"/>
    <x:tableColumn id="3" name="Referens"/>
    <x:tableColumn id="4" name="Lån / avtal"/>
    <x:tableColumn id="5" name="Objekt"/>
    <x:tableColumn id="6" name="Första underlag"/>
    <x:tableColumn id="7" name="Senaste underlag"/>
    <x:tableColumn id="8" name="Poster"/>
    <x:tableColumn id="9" name="Senast redovisad skuld"/>
    <x:tableColumn id="10" name="Senaste ränta"/>
    <x:tableColumn id="11" name="Summa ränta"/>
    <x:tableColumn id="12" name="Summa amortering / delbetalning"/>
    <x:tableColumn id="13" name="Summa aviserat"/>
    <x:tableColumn id="14" name="I senaste underlag"/>
    <x:tableColumn id="15" name="Kommenta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LoanDetailTable" displayName="LoanDetailTable" ref="A5:Q434" headerRowCount="1" totalsRowCount="0" totalsRowShown="0">
  <x:tableColumns count="17">
    <x:tableColumn id="1" name="Förfallodag"/>
    <x:tableColumn id="2" name="Typ"/>
    <x:tableColumn id="3" name="Långivare"/>
    <x:tableColumn id="4" name="Referens"/>
    <x:tableColumn id="5" name="Lånenummer / avtal"/>
    <x:tableColumn id="6" name="Objekt"/>
    <x:tableColumn id="7" name="Kapitalskuld efter betalning"/>
    <x:tableColumn id="8" name="Räntesats"/>
    <x:tableColumn id="9" name="Ränteperiod från"/>
    <x:tableColumn id="10" name="Dagar"/>
    <x:tableColumn id="11" name="Ränta"/>
    <x:tableColumn id="12" name="Amortering / delbetalning"/>
    <x:tableColumn id="13" name="Övrigt"/>
    <x:tableColumn id="14" name="Aviserat belopp per lån"/>
    <x:tableColumn id="15" name="Källfil"/>
    <x:tableColumn id="16" name="Sida"/>
    <x:tableColumn id="17" name="Kommenta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StatementReconciliationTable" displayName="StatementReconciliationTable" ref="A5:I150" headerRowCount="1" totalsRowCount="0" totalsRowShown="0">
  <x:tableColumns count="9">
    <x:tableColumn id="1" name="Förfallodag"/>
    <x:tableColumn id="2" name="Typ"/>
    <x:tableColumn id="3" name="Långivare"/>
    <x:tableColumn id="4" name="Referens / faktura"/>
    <x:tableColumn id="5" name="Redovisad lånedel"/>
    <x:tableColumn id="6" name="Beräknat från lånerader"/>
    <x:tableColumn id="7" name="Skillnad"/>
    <x:tableColumn id="8" name="Källfil"/>
    <x:tableColumn id="9" name="Kommenta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SourceCatalogTable" displayName="SourceCatalogTable" ref="A5:F154" headerRowCount="1" totalsRowCount="0" totalsRowShown="0">
  <x:tableColumns count="6">
    <x:tableColumn id="1" name="Källfil"/>
    <x:tableColumn id="2" name="Klassificering"/>
    <x:tableColumn id="3" name="Ingår"/>
    <x:tableColumn id="4" name="Skäl"/>
    <x:tableColumn id="5" name="Sidor"/>
    <x:tableColumn id="6" name="Storlek (KB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6061d1cb8049b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d3adda58b1945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634dce1a04f4a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c7fcdda4f8d44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" hidden="0" customWidth="1"/>
    <x:col min="3" max="3" width="25" hidden="0" customWidth="1"/>
    <x:col min="4" max="4" width="23" hidden="0" customWidth="1"/>
    <x:col min="5" max="5" width="38" hidden="0" customWidth="1"/>
    <x:col min="6" max="6" width="16" hidden="0" customWidth="1"/>
    <x:col min="7" max="7" width="16" hidden="0" customWidth="1"/>
    <x:col min="8" max="8" width="10" hidden="0" customWidth="1"/>
    <x:col min="9" max="9" width="21" hidden="0" customWidth="1"/>
    <x:col min="10" max="10" width="16" hidden="0" customWidth="1"/>
    <x:col min="11" max="11" width="17" hidden="0" customWidth="1"/>
    <x:col min="12" max="12" width="25" hidden="0" customWidth="1"/>
    <x:col min="13" max="13" width="18" hidden="0" customWidth="1"/>
    <x:col min="14" max="14" width="16" hidden="0" customWidth="1"/>
    <x:col min="15" max="15" width="4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3" t="str">
        <x:v>Lånesammanställning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>
      <x:c r="A3" s="5" t="str">
        <x:v>Delsummor per lån från 149 PDF-filer. Belopp i SEK. Underlagen sträcker sig från 2016-04-30 till 2025-10-27.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4" customHeight="1">
      <x:c r="A5" s="44" t="str">
        <x:v>Senast redovisad skuld*</x:v>
      </x:c>
      <x:c r="B5" s="50" t="n">
        <x:f>SUMIFS(I9:I15,N9:N15,"Ja")</x:f>
        <x:v>1008400</x:v>
      </x:c>
      <x:c r="C5" s="1"/>
      <x:c r="D5" s="44" t="str">
        <x:v>Aviserad ränta</x:v>
      </x:c>
      <x:c r="E5" s="50" t="n">
        <x:f>SUM(K9:K15)</x:f>
        <x:v>192926</x:v>
      </x:c>
      <x:c r="F5" s="1"/>
      <x:c r="G5" s="44" t="str">
        <x:v>Aviserad delbetalning</x:v>
      </x:c>
      <x:c r="H5" s="50" t="n">
        <x:f>SUM(L9:L15)</x:f>
        <x:v>400</x:v>
      </x:c>
      <x:c r="I5" s="1"/>
      <x:c r="J5" s="44" t="str">
        <x:v>Avstämningsskillnad</x:v>
      </x:c>
      <x:c r="K5" s="51" t="n">
        <x:f>'Aviöversikt'!G151</x:f>
        <x:v>0</x:v>
      </x:c>
      <x:c r="L5" s="1"/>
      <x:c r="M5" s="1"/>
      <x:c r="N5" s="1"/>
      <x:c r="O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 ht="32" customHeight="1">
      <x:c r="A7" s="57" t="str">
        <x:v>Delsummor per lån</x:v>
      </x:c>
      <x:c r="B7" s="58"/>
      <x:c r="C7" s="58"/>
      <x:c r="D7" s="58"/>
      <x:c r="E7" s="58"/>
      <x:c r="F7" s="58"/>
      <x:c r="G7" s="58"/>
      <x:c r="H7" s="58"/>
      <x:c r="I7" s="58"/>
      <x:c r="J7" s="58"/>
      <x:c r="K7" s="58"/>
      <x:c r="L7" s="58"/>
      <x:c r="M7" s="58"/>
      <x:c r="N7" s="58"/>
      <x:c r="O7" s="59"/>
    </x:row>
    <x:row r="8" ht="32" customHeight="1">
      <x:c r="A8" s="17" t="str">
        <x:v>Typ</x:v>
      </x:c>
      <x:c r="B8" s="18" t="str">
        <x:v>Långivare</x:v>
      </x:c>
      <x:c r="C8" s="18" t="str">
        <x:v>Referens</x:v>
      </x:c>
      <x:c r="D8" s="18" t="str">
        <x:v>Lån / avtal</x:v>
      </x:c>
      <x:c r="E8" s="18" t="str">
        <x:v>Objekt</x:v>
      </x:c>
      <x:c r="F8" s="18" t="str">
        <x:v>Första underlag</x:v>
      </x:c>
      <x:c r="G8" s="18" t="str">
        <x:v>Senaste underlag</x:v>
      </x:c>
      <x:c r="H8" s="18" t="str">
        <x:v>Poster</x:v>
      </x:c>
      <x:c r="I8" s="18" t="str">
        <x:v>Senast redovisad skuld</x:v>
      </x:c>
      <x:c r="J8" s="18" t="str">
        <x:v>Senaste ränta</x:v>
      </x:c>
      <x:c r="K8" s="18" t="str">
        <x:v>Summa ränta</x:v>
      </x:c>
      <x:c r="L8" s="18" t="str">
        <x:v>Summa amortering / delbetalning</x:v>
      </x:c>
      <x:c r="M8" s="18" t="str">
        <x:v>Summa aviserat</x:v>
      </x:c>
      <x:c r="N8" s="18" t="str">
        <x:v>I senaste underlag</x:v>
      </x:c>
      <x:c r="O8" s="19" t="str">
        <x:v>Kommentar</x:v>
      </x:c>
    </x:row>
    <x:row r="9">
      <x:c r="A9" s="1" t="str">
        <x:v>Bolån</x:v>
      </x:c>
      <x:c r="B9" s="1" t="str">
        <x:v>Stadshypotek AB</x:v>
      </x:c>
      <x:c r="C9" s="1" t="str">
        <x:v>02-279136</x:v>
      </x:c>
      <x:c r="D9" s="1" t="str">
        <x:v>20543</x:v>
      </x:c>
      <x:c r="E9" s="1" t="str">
        <x:v>HSB Brf Siljan i Stockholm, lgh 178</x:v>
      </x:c>
      <x:c r="F9" s="20" t="n">
        <x:v>42491</x:v>
      </x:c>
      <x:c r="G9" s="20" t="n">
        <x:v>45717</x:v>
      </x:c>
      <x:c r="H9" s="61" t="n">
        <x:f>COUNTIFS('Lånedetaljer'!$B$6:$B$434,A9,'Lånedetaljer'!$D$6:$D$434,C9,'Lånedetaljer'!$E$6:$E$434,D9)</x:f>
        <x:v>107</x:v>
      </x:c>
      <x:c r="I9" s="21" t="n">
        <x:v>160000</x:v>
      </x:c>
      <x:c r="J9" s="22" t="n">
        <x:v>0.0479</x:v>
      </x:c>
      <x:c r="K9" s="31" t="n">
        <x:f>SUMIFS('Lånedetaljer'!$K$6:$K$434,'Lånedetaljer'!$B$6:$B$434,A9,'Lånedetaljer'!$D$6:$D$434,C9,'Lånedetaljer'!$E$6:$E$434,D9)</x:f>
        <x:v>43513</x:v>
      </x:c>
      <x:c r="L9" s="31" t="n">
        <x:f>SUMIFS('Lånedetaljer'!$L$6:$L$434,'Lånedetaljer'!$B$6:$B$434,A9,'Lånedetaljer'!$D$6:$D$434,C9,'Lånedetaljer'!$E$6:$E$434,D9)</x:f>
        <x:v>0</x:v>
      </x:c>
      <x:c r="M9" s="31" t="n">
        <x:f>SUMIFS('Lånedetaljer'!$N$6:$N$434,'Lånedetaljer'!$B$6:$B$434,A9,'Lånedetaljer'!$D$6:$D$434,C9,'Lånedetaljer'!$E$6:$E$434,D9)</x:f>
        <x:v>43513</x:v>
      </x:c>
      <x:c r="N9" s="1" t="str">
        <x:v>Ja</x:v>
      </x:c>
      <x:c r="O9" s="38" t="str"/>
    </x:row>
    <x:row r="10">
      <x:c r="A10" s="1" t="str">
        <x:v>Bolån</x:v>
      </x:c>
      <x:c r="B10" s="1" t="str">
        <x:v>Stadshypotek AB</x:v>
      </x:c>
      <x:c r="C10" s="1" t="str">
        <x:v>02-279136</x:v>
      </x:c>
      <x:c r="D10" s="1" t="str">
        <x:v>821823</x:v>
      </x:c>
      <x:c r="E10" s="1" t="str">
        <x:v>HSB Brf Siljan i Stockholm, lgh 178</x:v>
      </x:c>
      <x:c r="F10" s="20" t="n">
        <x:v>42491</x:v>
      </x:c>
      <x:c r="G10" s="20" t="n">
        <x:v>45717</x:v>
      </x:c>
      <x:c r="H10" s="61" t="n">
        <x:f>COUNTIFS('Lånedetaljer'!$B$6:$B$434,A10,'Lånedetaljer'!$D$6:$D$434,C10,'Lånedetaljer'!$E$6:$E$434,D10)</x:f>
        <x:v>107</x:v>
      </x:c>
      <x:c r="I10" s="21" t="n">
        <x:v>35000</x:v>
      </x:c>
      <x:c r="J10" s="22" t="n">
        <x:v>0.0479</x:v>
      </x:c>
      <x:c r="K10" s="31" t="n">
        <x:f>SUMIFS('Lånedetaljer'!$K$6:$K$434,'Lånedetaljer'!$B$6:$B$434,A10,'Lånedetaljer'!$D$6:$D$434,C10,'Lånedetaljer'!$E$6:$E$434,D10)</x:f>
        <x:v>9529</x:v>
      </x:c>
      <x:c r="L10" s="31" t="n">
        <x:f>SUMIFS('Lånedetaljer'!$L$6:$L$434,'Lånedetaljer'!$B$6:$B$434,A10,'Lånedetaljer'!$D$6:$D$434,C10,'Lånedetaljer'!$E$6:$E$434,D10)</x:f>
        <x:v>0</x:v>
      </x:c>
      <x:c r="M10" s="31" t="n">
        <x:f>SUMIFS('Lånedetaljer'!$N$6:$N$434,'Lånedetaljer'!$B$6:$B$434,A10,'Lånedetaljer'!$D$6:$D$434,C10,'Lånedetaljer'!$E$6:$E$434,D10)</x:f>
        <x:v>9529</x:v>
      </x:c>
      <x:c r="N10" s="1" t="str">
        <x:v>Ja</x:v>
      </x:c>
      <x:c r="O10" s="38" t="str"/>
    </x:row>
    <x:row r="11">
      <x:c r="A11" s="1" t="str">
        <x:v>Bolån</x:v>
      </x:c>
      <x:c r="B11" s="1" t="str">
        <x:v>Stadshypotek AB</x:v>
      </x:c>
      <x:c r="C11" s="1" t="str">
        <x:v>02-279136</x:v>
      </x:c>
      <x:c r="D11" s="1" t="str">
        <x:v>821824</x:v>
      </x:c>
      <x:c r="E11" s="1" t="str">
        <x:v>HSB Brf Siljan i Stockholm, lgh 178</x:v>
      </x:c>
      <x:c r="F11" s="20" t="n">
        <x:v>42491</x:v>
      </x:c>
      <x:c r="G11" s="20" t="n">
        <x:v>45717</x:v>
      </x:c>
      <x:c r="H11" s="61" t="n">
        <x:f>COUNTIFS('Lånedetaljer'!$B$6:$B$434,A11,'Lånedetaljer'!$D$6:$D$434,C11,'Lånedetaljer'!$E$6:$E$434,D11)</x:f>
        <x:v>107</x:v>
      </x:c>
      <x:c r="I11" s="21" t="n">
        <x:v>160000</x:v>
      </x:c>
      <x:c r="J11" s="22" t="n">
        <x:v>0.0479</x:v>
      </x:c>
      <x:c r="K11" s="31" t="n">
        <x:f>SUMIFS('Lånedetaljer'!$K$6:$K$434,'Lånedetaljer'!$B$6:$B$434,A11,'Lånedetaljer'!$D$6:$D$434,C11,'Lånedetaljer'!$E$6:$E$434,D11)</x:f>
        <x:v>43513</x:v>
      </x:c>
      <x:c r="L11" s="31" t="n">
        <x:f>SUMIFS('Lånedetaljer'!$L$6:$L$434,'Lånedetaljer'!$B$6:$B$434,A11,'Lånedetaljer'!$D$6:$D$434,C11,'Lånedetaljer'!$E$6:$E$434,D11)</x:f>
        <x:v>0</x:v>
      </x:c>
      <x:c r="M11" s="31" t="n">
        <x:f>SUMIFS('Lånedetaljer'!$N$6:$N$434,'Lånedetaljer'!$B$6:$B$434,A11,'Lånedetaljer'!$D$6:$D$434,C11,'Lånedetaljer'!$E$6:$E$434,D11)</x:f>
        <x:v>43513</x:v>
      </x:c>
      <x:c r="N11" s="1" t="str">
        <x:v>Ja</x:v>
      </x:c>
      <x:c r="O11" s="38" t="str"/>
    </x:row>
    <x:row r="12">
      <x:c r="A12" s="1" t="str">
        <x:v>Bolån</x:v>
      </x:c>
      <x:c r="B12" s="1" t="str">
        <x:v>Stadshypotek AB</x:v>
      </x:c>
      <x:c r="C12" s="1" t="str">
        <x:v>02-279136</x:v>
      </x:c>
      <x:c r="D12" s="1" t="str">
        <x:v>169863</x:v>
      </x:c>
      <x:c r="E12" s="1" t="str">
        <x:v>HSB Brf Siljan i Stockholm, lgh 178</x:v>
      </x:c>
      <x:c r="F12" s="20" t="n">
        <x:v>43586</x:v>
      </x:c>
      <x:c r="G12" s="20" t="n">
        <x:v>45717</x:v>
      </x:c>
      <x:c r="H12" s="61" t="n">
        <x:f>COUNTIFS('Lånedetaljer'!$B$6:$B$434,A12,'Lånedetaljer'!$D$6:$D$434,C12,'Lånedetaljer'!$E$6:$E$434,D12)</x:f>
        <x:v>71</x:v>
      </x:c>
      <x:c r="I12" s="21" t="n">
        <x:v>400000</x:v>
      </x:c>
      <x:c r="J12" s="22" t="n">
        <x:v>0.0454</x:v>
      </x:c>
      <x:c r="K12" s="31" t="n">
        <x:f>SUMIFS('Lånedetaljer'!$K$6:$K$434,'Lånedetaljer'!$B$6:$B$434,A12,'Lånedetaljer'!$D$6:$D$434,C12,'Lånedetaljer'!$E$6:$E$434,D12)</x:f>
        <x:v>82034</x:v>
      </x:c>
      <x:c r="L12" s="31" t="n">
        <x:f>SUMIFS('Lånedetaljer'!$L$6:$L$434,'Lånedetaljer'!$B$6:$B$434,A12,'Lånedetaljer'!$D$6:$D$434,C12,'Lånedetaljer'!$E$6:$E$434,D12)</x:f>
        <x:v>0</x:v>
      </x:c>
      <x:c r="M12" s="31" t="n">
        <x:f>SUMIFS('Lånedetaljer'!$N$6:$N$434,'Lånedetaljer'!$B$6:$B$434,A12,'Lånedetaljer'!$D$6:$D$434,C12,'Lånedetaljer'!$E$6:$E$434,D12)</x:f>
        <x:v>82034</x:v>
      </x:c>
      <x:c r="N12" s="1" t="str">
        <x:v>Ja</x:v>
      </x:c>
      <x:c r="O12" s="38" t="str"/>
    </x:row>
    <x:row r="13">
      <x:c r="A13" s="1" t="str">
        <x:v>Bolån</x:v>
      </x:c>
      <x:c r="B13" s="1" t="str">
        <x:v>Stadshypotek AB</x:v>
      </x:c>
      <x:c r="C13" s="1" t="str">
        <x:v>02-438379</x:v>
      </x:c>
      <x:c r="D13" s="1" t="str">
        <x:v>825663</x:v>
      </x:c>
      <x:c r="E13" s="1" t="str">
        <x:v>Brf Fyrhöjden, lgh 27033-0035</x:v>
      </x:c>
      <x:c r="F13" s="20" t="n">
        <x:v>42490</x:v>
      </x:c>
      <x:c r="G13" s="20" t="n">
        <x:v>43160</x:v>
      </x:c>
      <x:c r="H13" s="61" t="n">
        <x:f>COUNTIFS('Lånedetaljer'!$B$6:$B$434,A13,'Lånedetaljer'!$D$6:$D$434,C13,'Lånedetaljer'!$E$6:$E$434,D13)</x:f>
        <x:v>23</x:v>
      </x:c>
      <x:c r="I13" s="21" t="n">
        <x:v>250000</x:v>
      </x:c>
      <x:c r="J13" s="22" t="n">
        <x:v>0.0192</x:v>
      </x:c>
      <x:c r="K13" s="31" t="n">
        <x:f>SUMIFS('Lånedetaljer'!$K$6:$K$434,'Lånedetaljer'!$B$6:$B$434,A13,'Lånedetaljer'!$D$6:$D$434,C13,'Lånedetaljer'!$E$6:$E$434,D13)</x:f>
        <x:v>9213</x:v>
      </x:c>
      <x:c r="L13" s="31" t="n">
        <x:f>SUMIFS('Lånedetaljer'!$L$6:$L$434,'Lånedetaljer'!$B$6:$B$434,A13,'Lånedetaljer'!$D$6:$D$434,C13,'Lånedetaljer'!$E$6:$E$434,D13)</x:f>
        <x:v>0</x:v>
      </x:c>
      <x:c r="M13" s="31" t="n">
        <x:f>SUMIFS('Lånedetaljer'!$N$6:$N$434,'Lånedetaljer'!$B$6:$B$434,A13,'Lånedetaljer'!$D$6:$D$434,C13,'Lånedetaljer'!$E$6:$E$434,D13)</x:f>
        <x:v>9213</x:v>
      </x:c>
      <x:c r="N13" s="1" t="str">
        <x:v>Nej</x:v>
      </x:c>
      <x:c r="O13" s="38" t="str">
        <x:v>Ersätts av lån 84013 med samma referens och skuld i nästa månads underlag.</x:v>
      </x:c>
    </x:row>
    <x:row r="14">
      <x:c r="A14" s="1" t="str">
        <x:v>Bolån</x:v>
      </x:c>
      <x:c r="B14" s="1" t="str">
        <x:v>Stadshypotek AB</x:v>
      </x:c>
      <x:c r="C14" s="1" t="str">
        <x:v>02-438379</x:v>
      </x:c>
      <x:c r="D14" s="1" t="str">
        <x:v>84013</x:v>
      </x:c>
      <x:c r="E14" s="1" t="str">
        <x:v>Brf Fyrhöjden, lgh 27033-0035</x:v>
      </x:c>
      <x:c r="F14" s="20" t="n">
        <x:v>43191</x:v>
      </x:c>
      <x:c r="G14" s="20" t="n">
        <x:v>43525</x:v>
      </x:c>
      <x:c r="H14" s="61" t="n">
        <x:f>COUNTIFS('Lånedetaljer'!$B$6:$B$434,A14,'Lånedetaljer'!$D$6:$D$434,C14,'Lånedetaljer'!$E$6:$E$434,D14)</x:f>
        <x:v>12</x:v>
      </x:c>
      <x:c r="I14" s="21" t="n">
        <x:v>250000</x:v>
      </x:c>
      <x:c r="J14" s="22" t="n">
        <x:v>0.020499999999999997</x:v>
      </x:c>
      <x:c r="K14" s="31" t="n">
        <x:f>SUMIFS('Lånedetaljer'!$K$6:$K$434,'Lånedetaljer'!$B$6:$B$434,A14,'Lånedetaljer'!$D$6:$D$434,C14,'Lånedetaljer'!$E$6:$E$434,D14)</x:f>
        <x:v>5124</x:v>
      </x:c>
      <x:c r="L14" s="31" t="n">
        <x:f>SUMIFS('Lånedetaljer'!$L$6:$L$434,'Lånedetaljer'!$B$6:$B$434,A14,'Lånedetaljer'!$D$6:$D$434,C14,'Lånedetaljer'!$E$6:$E$434,D14)</x:f>
        <x:v>0</x:v>
      </x:c>
      <x:c r="M14" s="31" t="n">
        <x:f>SUMIFS('Lånedetaljer'!$N$6:$N$434,'Lånedetaljer'!$B$6:$B$434,A14,'Lånedetaljer'!$D$6:$D$434,C14,'Lånedetaljer'!$E$6:$E$434,D14)</x:f>
        <x:v>5124</x:v>
      </x:c>
      <x:c r="N14" s="1" t="str">
        <x:v>Ja</x:v>
      </x:c>
      <x:c r="O14" s="38" t="str">
        <x:v>Senaste underlaget är 2019-03-01; nutida status är okänd.</x:v>
      </x:c>
    </x:row>
    <x:row r="15">
      <x:c r="A15" s="1" t="str">
        <x:v>Delbetalning</x:v>
      </x:c>
      <x:c r="B15" s="1" t="str">
        <x:v>Hi3G Access AB (Tre)</x:v>
      </x:c>
      <x:c r="C15" s="1" t="str">
        <x:v>Tre kundnr 12343330614</x:v>
      </x:c>
      <x:c r="D15" s="1" t="str">
        <x:v>Samsung S23 128GB Black</x:v>
      </x:c>
      <x:c r="E15" s="1" t="str">
        <x:v>Mobiltelefon, 36 månader</x:v>
      </x:c>
      <x:c r="F15" s="20" t="n">
        <x:v>45742</x:v>
      </x:c>
      <x:c r="G15" s="20" t="n">
        <x:v>45957</x:v>
      </x:c>
      <x:c r="H15" s="61" t="n">
        <x:f>COUNTIFS('Lånedetaljer'!$B$6:$B$434,A15,'Lånedetaljer'!$D$6:$D$434,C15,'Lånedetaljer'!$E$6:$E$434,D15)</x:f>
        <x:v>2</x:v>
      </x:c>
      <x:c r="I15" s="21" t="n">
        <x:v>3400</x:v>
      </x:c>
      <x:c r="J15" s="22"/>
      <x:c r="K15" s="31" t="n">
        <x:f>SUMIFS('Lånedetaljer'!$K$6:$K$434,'Lånedetaljer'!$B$6:$B$434,A15,'Lånedetaljer'!$D$6:$D$434,C15,'Lånedetaljer'!$E$6:$E$434,D15)</x:f>
        <x:v>0</x:v>
      </x:c>
      <x:c r="L15" s="31" t="n">
        <x:f>SUMIFS('Lånedetaljer'!$L$6:$L$434,'Lånedetaljer'!$B$6:$B$434,A15,'Lånedetaljer'!$D$6:$D$434,C15,'Lånedetaljer'!$E$6:$E$434,D15)</x:f>
        <x:v>400</x:v>
      </x:c>
      <x:c r="M15" s="31" t="n">
        <x:f>SUMIFS('Lånedetaljer'!$N$6:$N$434,'Lånedetaljer'!$B$6:$B$434,A15,'Lånedetaljer'!$D$6:$D$434,C15,'Lånedetaljer'!$E$6:$E$434,D15)</x:f>
        <x:v>400</x:v>
      </x:c>
      <x:c r="N15" s="1" t="str">
        <x:v>Ja</x:v>
      </x:c>
      <x:c r="O15" s="38" t="str">
        <x:v>Endast två fakturor finns; mellanliggande betalningar saknas i mappen.</x:v>
      </x:c>
    </x:row>
    <x:row r="16">
      <x:c r="A16" s="36" t="str">
        <x:v>Totalt / senaste per referens</x:v>
      </x:c>
      <x:c r="B16" s="36"/>
      <x:c r="C16" s="36"/>
      <x:c r="D16" s="36"/>
      <x:c r="E16" s="36"/>
      <x:c r="F16" s="36"/>
      <x:c r="G16" s="36"/>
      <x:c r="H16" s="60" t="n">
        <x:f>SUM(H9:H15)</x:f>
        <x:v>429</x:v>
      </x:c>
      <x:c r="I16" s="37" t="n">
        <x:f>SUMIFS(I9:I15,N9:N15,"Ja")</x:f>
        <x:v>1008400</x:v>
      </x:c>
      <x:c r="J16" s="36"/>
      <x:c r="K16" s="37" t="n">
        <x:f>SUM(K9:K15)</x:f>
        <x:v>192926</x:v>
      </x:c>
      <x:c r="L16" s="37" t="n">
        <x:f>SUM(L9:L15)</x:f>
        <x:v>400</x:v>
      </x:c>
      <x:c r="M16" s="37" t="n">
        <x:f>SUM(M9:M15)</x:f>
        <x:v>193326</x:v>
      </x:c>
      <x:c r="N16" s="36"/>
      <x:c r="O16" s="36" t="str">
        <x:v>Skuld summerar endast rader markerade Ja.</x:v>
      </x:c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 ht="22" customHeight="1">
      <x:c r="A18" s="64" t="str">
        <x:v>* Skulden summerar endast det lån eller den delbetalning som finns i det senaste tillgängliga underlaget per referens. Källdatumen skiljer sig.</x:v>
      </x:c>
      <x:c r="B18" s="64"/>
      <x:c r="C18" s="64"/>
      <x:c r="D18" s="64"/>
      <x:c r="E18" s="64"/>
      <x:c r="F18" s="64"/>
      <x:c r="G18" s="64"/>
      <x:c r="H18" s="64"/>
      <x:c r="I18" s="64"/>
      <x:c r="J18" s="64"/>
      <x:c r="K18" s="64"/>
      <x:c r="L18" s="64"/>
      <x:c r="M18" s="64"/>
      <x:c r="N18" s="64"/>
      <x:c r="O18" s="64"/>
    </x:row>
    <x:row r="19" ht="22" customHeight="1">
      <x:c r="A19" s="64" t="str">
        <x:v>Ref 02-438379 slutar 2019-03-01. Lån 825663 tycks ha ersatts av 84013 med samma referens och 250 000 kr skuld; de dubbelräknas därför inte i senaste skuld.</x:v>
      </x:c>
      <x:c r="B19" s="64"/>
      <x:c r="C19" s="64"/>
      <x:c r="D19" s="64"/>
      <x:c r="E19" s="64"/>
      <x:c r="F19" s="64"/>
      <x:c r="G19" s="64"/>
      <x:c r="H19" s="64"/>
      <x:c r="I19" s="64"/>
      <x:c r="J19" s="64"/>
      <x:c r="K19" s="64"/>
      <x:c r="L19" s="64"/>
      <x:c r="M19" s="64"/>
      <x:c r="N19" s="64"/>
      <x:c r="O19" s="64"/>
    </x:row>
    <x:row r="20" ht="22" customHeight="1">
      <x:c r="A20" s="64" t="str">
        <x:v>Tre-underlagen omfattar bara delbetalning 12/36 och 19/36. Aviserad delbetalning i källorna är 400 kr och senast angiven återstående skuld är 3 400 kr. 3Trygg 129 kr är försäkring och ingår inte.</x:v>
      </x:c>
      <x:c r="B20" s="64"/>
      <x:c r="C20" s="64"/>
      <x:c r="D20" s="64"/>
      <x:c r="E20" s="64"/>
      <x:c r="F20" s="64"/>
      <x:c r="G20" s="64"/>
      <x:c r="H20" s="64"/>
      <x:c r="I20" s="64"/>
      <x:c r="J20" s="64"/>
      <x:c r="K20" s="64"/>
      <x:c r="L20" s="64"/>
      <x:c r="M20" s="64"/>
      <x:c r="N20" s="64"/>
      <x:c r="O20" s="64"/>
    </x:row>
    <x:row r="21" ht="22" customHeight="1">
      <x:c r="A21" s="64" t="str">
        <x:v>Fyra vanliga eller utgående fakturor saknar låneposter och är exkluderade. Se fliken Källor för full klassificering.</x:v>
      </x:c>
      <x:c r="B21" s="64"/>
      <x:c r="C21" s="64"/>
      <x:c r="D21" s="64"/>
      <x:c r="E21" s="64"/>
      <x:c r="F21" s="64"/>
      <x:c r="G21" s="64"/>
      <x:c r="H21" s="64"/>
      <x:c r="I21" s="64"/>
      <x:c r="J21" s="64"/>
      <x:c r="K21" s="64"/>
      <x:c r="L21" s="64"/>
      <x:c r="M21" s="64"/>
      <x:c r="N21" s="64"/>
      <x:c r="O21" s="64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>
      <x:c r="A23" s="57" t="str">
        <x:v>Delsummor per referens</x:v>
      </x:c>
      <x:c r="B23" s="58"/>
      <x:c r="C23" s="58"/>
      <x:c r="D23" s="58"/>
      <x:c r="E23" s="58"/>
      <x:c r="F23" s="58"/>
      <x:c r="G23" s="59"/>
      <x:c r="H23" s="1"/>
      <x:c r="I23" s="1"/>
      <x:c r="J23" s="1"/>
      <x:c r="K23" s="1"/>
      <x:c r="L23" s="1"/>
      <x:c r="M23" s="1"/>
      <x:c r="N23" s="1"/>
      <x:c r="O23" s="1"/>
    </x:row>
    <x:row r="24">
      <x:c r="A24" s="17" t="str">
        <x:v>Typ</x:v>
      </x:c>
      <x:c r="B24" s="18" t="str">
        <x:v>Referens</x:v>
      </x:c>
      <x:c r="C24" s="18" t="str">
        <x:v>Objekt</x:v>
      </x:c>
      <x:c r="D24" s="18" t="str">
        <x:v>Senaste underlag</x:v>
      </x:c>
      <x:c r="E24" s="18" t="str">
        <x:v>Senast redovisad skuld</x:v>
      </x:c>
      <x:c r="F24" s="18" t="str">
        <x:v>Aviserad ränta</x:v>
      </x:c>
      <x:c r="G24" s="19" t="str">
        <x:v>Aviserat belopp</x:v>
      </x:c>
      <x:c r="H24" s="1"/>
      <x:c r="I24" s="1"/>
      <x:c r="J24" s="1"/>
      <x:c r="K24" s="1"/>
      <x:c r="L24" s="1"/>
      <x:c r="M24" s="1"/>
      <x:c r="N24" s="1"/>
      <x:c r="O24" s="1"/>
    </x:row>
    <x:row r="25" ht="26" customHeight="1">
      <x:c r="A25" s="1" t="str">
        <x:v>Bolån</x:v>
      </x:c>
      <x:c r="B25" s="1" t="str">
        <x:v>02-279136</x:v>
      </x:c>
      <x:c r="C25" s="38" t="str">
        <x:v>HSB Brf Siljan i Stockholm, lgh 178</x:v>
      </x:c>
      <x:c r="D25" s="20" t="n">
        <x:v>45717</x:v>
      </x:c>
      <x:c r="E25" s="21" t="n">
        <x:f>SUMIFS($I$9:$I$15,$C$9:$C$15,B25,$N$9:$N$15,"Ja")</x:f>
        <x:v>755000</x:v>
      </x:c>
      <x:c r="F25" s="21" t="n">
        <x:f>SUMIFS($K$9:$K$15,$C$9:$C$15,B25)</x:f>
        <x:v>178589</x:v>
      </x:c>
      <x:c r="G25" s="21" t="n">
        <x:f>SUMIFS($M$9:$M$15,$C$9:$C$15,B25)</x:f>
        <x:v>178589</x:v>
      </x:c>
      <x:c r="H25" s="1"/>
      <x:c r="I25" s="1"/>
      <x:c r="J25" s="1"/>
      <x:c r="K25" s="1"/>
      <x:c r="L25" s="1"/>
      <x:c r="M25" s="1"/>
      <x:c r="N25" s="1"/>
      <x:c r="O25" s="1"/>
    </x:row>
    <x:row r="26" ht="26" customHeight="1">
      <x:c r="A26" s="1" t="str">
        <x:v>Bolån</x:v>
      </x:c>
      <x:c r="B26" s="1" t="str">
        <x:v>02-438379</x:v>
      </x:c>
      <x:c r="C26" s="38" t="str">
        <x:v>Brf Fyrhöjden, lgh 27033-0035</x:v>
      </x:c>
      <x:c r="D26" s="20" t="n">
        <x:v>43525</x:v>
      </x:c>
      <x:c r="E26" s="21" t="n">
        <x:f>SUMIFS($I$9:$I$15,$C$9:$C$15,B26,$N$9:$N$15,"Ja")</x:f>
        <x:v>250000</x:v>
      </x:c>
      <x:c r="F26" s="21" t="n">
        <x:f>SUMIFS($K$9:$K$15,$C$9:$C$15,B26)</x:f>
        <x:v>14337</x:v>
      </x:c>
      <x:c r="G26" s="21" t="n">
        <x:f>SUMIFS($M$9:$M$15,$C$9:$C$15,B26)</x:f>
        <x:v>14337</x:v>
      </x:c>
      <x:c r="H26" s="1"/>
      <x:c r="I26" s="1"/>
      <x:c r="J26" s="1"/>
      <x:c r="K26" s="1"/>
      <x:c r="L26" s="1"/>
      <x:c r="M26" s="1"/>
      <x:c r="N26" s="1"/>
      <x:c r="O26" s="1"/>
    </x:row>
    <x:row r="27" ht="26" customHeight="1">
      <x:c r="A27" s="1" t="str">
        <x:v>Delbetalning</x:v>
      </x:c>
      <x:c r="B27" s="1" t="str">
        <x:v>Tre kundnr 12343330614</x:v>
      </x:c>
      <x:c r="C27" s="38" t="str">
        <x:v>Samsung S23 128GB Black</x:v>
      </x:c>
      <x:c r="D27" s="20" t="n">
        <x:v>45957</x:v>
      </x:c>
      <x:c r="E27" s="21" t="n">
        <x:f>SUMIFS($I$9:$I$15,$C$9:$C$15,B27,$N$9:$N$15,"Ja")</x:f>
        <x:v>3400</x:v>
      </x:c>
      <x:c r="F27" s="21" t="n">
        <x:f>SUMIFS($K$9:$K$15,$C$9:$C$15,B27)</x:f>
        <x:v>0</x:v>
      </x:c>
      <x:c r="G27" s="21" t="n">
        <x:f>SUMIFS($M$9:$M$15,$C$9:$C$15,B27)</x:f>
        <x:v>400</x:v>
      </x:c>
      <x:c r="H27" s="1"/>
      <x:c r="I27" s="1"/>
      <x:c r="J27" s="1"/>
      <x:c r="K27" s="1"/>
      <x:c r="L27" s="1"/>
      <x:c r="M27" s="1"/>
      <x:c r="N27" s="1"/>
      <x:c r="O27" s="1"/>
    </x:row>
    <x:row r="28">
      <x:c r="A28" s="36" t="str">
        <x:v>Totalt</x:v>
      </x:c>
      <x:c r="B28" s="36"/>
      <x:c r="C28" s="36"/>
      <x:c r="D28" s="36"/>
      <x:c r="E28" s="37" t="n">
        <x:f>SUM(E25:E27)</x:f>
        <x:v>1008400</x:v>
      </x:c>
      <x:c r="F28" s="37" t="n">
        <x:f>SUM(F25:F27)</x:f>
        <x:v>192926</x:v>
      </x:c>
      <x:c r="G28" s="37" t="n">
        <x:f>SUM(G25:G27)</x:f>
        <x:v>193326</x:v>
      </x:c>
      <x:c r="H28" s="1"/>
      <x:c r="I28" s="1"/>
      <x:c r="J28" s="1"/>
      <x:c r="K28" s="1"/>
      <x:c r="L28" s="1"/>
      <x:c r="M28" s="1"/>
      <x:c r="N28" s="1"/>
      <x:c r="O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</x:row>
  </x:sheetData>
  <x:mergeCells>
    <x:mergeCell ref="A18:O18"/>
    <x:mergeCell ref="A19:O19"/>
    <x:mergeCell ref="A20:O20"/>
    <x:mergeCell ref="A21:O21"/>
  </x:mergeCells>
  <x:conditionalFormatting sqref="N9:N15">
    <x:cfRule type="containsText" dxfId="3" priority="1" operator="containsText" text="Ja"/>
    <x:cfRule type="containsText" dxfId="4" priority="2" operator="containsText" text="Nej"/>
  </x:conditionalFormatting>
  <x:pageMargins left="0.7" right="0.7" top="0.75" bottom="0.75" header="0.3" footer="0.3"/>
  <x:tableParts count="1">
    <x:tablePart xmlns:r="http://schemas.openxmlformats.org/officeDocument/2006/relationships" r:id="Rbf6061d1cb8049b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12" hidden="0" customWidth="1"/>
    <x:col min="2" max="2" width="15" hidden="0" customWidth="1"/>
    <x:col min="3" max="3" width="23" hidden="0" customWidth="1"/>
    <x:col min="4" max="4" width="21" hidden="0" customWidth="1"/>
    <x:col min="5" max="5" width="22" hidden="0" customWidth="1"/>
    <x:col min="6" max="6" width="38" hidden="0" customWidth="1"/>
    <x:col min="7" max="7" width="23" hidden="0" customWidth="1"/>
    <x:col min="8" max="8" width="12" hidden="0" customWidth="1"/>
    <x:col min="9" max="9" width="15" hidden="0" customWidth="1"/>
    <x:col min="10" max="10" width="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36" hidden="0" customWidth="1"/>
    <x:col min="16" max="16" width="8" hidden="0" customWidth="1"/>
    <x:col min="17" max="17" width="4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3" t="str">
        <x:v>Lånedetaljer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</x:row>
    <x:row r="3">
      <x:c r="A3" s="5" t="str">
        <x:v>En rad per lån och underlag. Aviserat belopp per lån summerar ränta, amortering/delbetalning och övrigt. Belopp i SEK.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4" customHeight="1">
      <x:c r="A5" s="17" t="str">
        <x:v>Förfallodag</x:v>
      </x:c>
      <x:c r="B5" s="18" t="str">
        <x:v>Typ</x:v>
      </x:c>
      <x:c r="C5" s="18" t="str">
        <x:v>Långivare</x:v>
      </x:c>
      <x:c r="D5" s="18" t="str">
        <x:v>Referens</x:v>
      </x:c>
      <x:c r="E5" s="18" t="str">
        <x:v>Lånenummer / avtal</x:v>
      </x:c>
      <x:c r="F5" s="18" t="str">
        <x:v>Objekt</x:v>
      </x:c>
      <x:c r="G5" s="18" t="str">
        <x:v>Kapitalskuld efter betalning</x:v>
      </x:c>
      <x:c r="H5" s="18" t="str">
        <x:v>Räntesats</x:v>
      </x:c>
      <x:c r="I5" s="18" t="str">
        <x:v>Ränteperiod från</x:v>
      </x:c>
      <x:c r="J5" s="18" t="str">
        <x:v>Dagar</x:v>
      </x:c>
      <x:c r="K5" s="18" t="str">
        <x:v>Ränta</x:v>
      </x:c>
      <x:c r="L5" s="18" t="str">
        <x:v>Amortering / delbetalning</x:v>
      </x:c>
      <x:c r="M5" s="18" t="str">
        <x:v>Övrigt</x:v>
      </x:c>
      <x:c r="N5" s="18" t="str">
        <x:v>Aviserat belopp per lån</x:v>
      </x:c>
      <x:c r="O5" s="18" t="str">
        <x:v>Källfil</x:v>
      </x:c>
      <x:c r="P5" s="18" t="str">
        <x:v>Sida</x:v>
      </x:c>
      <x:c r="Q5" s="19" t="str">
        <x:v>Kommentar</x:v>
      </x:c>
    </x:row>
    <x:row r="6">
      <x:c r="A6" s="24" t="n">
        <x:v>43586</x:v>
      </x:c>
      <x:c r="B6" s="25" t="str">
        <x:v>Bolån</x:v>
      </x:c>
      <x:c r="C6" s="25" t="str">
        <x:v>Stadshypotek AB</x:v>
      </x:c>
      <x:c r="D6" s="25" t="str">
        <x:v>02-279136</x:v>
      </x:c>
      <x:c r="E6" s="25" t="str">
        <x:v>169863</x:v>
      </x:c>
      <x:c r="F6" s="29" t="str">
        <x:v>HSB Brf Siljan i Stockholm, lgh 178</x:v>
      </x:c>
      <x:c r="G6" s="26" t="n">
        <x:v>400000</x:v>
      </x:c>
      <x:c r="H6" s="27" t="n">
        <x:v>0.0175</x:v>
      </x:c>
      <x:c r="I6" s="24" t="n">
        <x:v>43551</x:v>
      </x:c>
      <x:c r="J6" s="28" t="n">
        <x:v>34</x:v>
      </x:c>
      <x:c r="K6" s="26" t="n">
        <x:v>661</x:v>
      </x:c>
      <x:c r="L6" s="26" t="n">
        <x:v>0</x:v>
      </x:c>
      <x:c r="M6" s="26" t="n">
        <x:v>0</x:v>
      </x:c>
      <x:c r="N6" s="26" t="n">
        <x:f>SUM(K6:M6)</x:f>
        <x:v>661</x:v>
      </x:c>
      <x:c r="O6" s="25" t="str">
        <x:v>2019-05-01_02-279136_2.pdf</x:v>
      </x:c>
      <x:c r="P6" s="28" t="n">
        <x:v>1</x:v>
      </x:c>
      <x:c r="Q6" s="29" t="str">
        <x:v>Ingen amorteringsrad redovisas på avin.</x:v>
      </x:c>
    </x:row>
    <x:row r="7">
      <x:c r="A7" s="24" t="n">
        <x:v>43617</x:v>
      </x:c>
      <x:c r="B7" s="25" t="str">
        <x:v>Bolån</x:v>
      </x:c>
      <x:c r="C7" s="25" t="str">
        <x:v>Stadshypotek AB</x:v>
      </x:c>
      <x:c r="D7" s="25" t="str">
        <x:v>02-279136</x:v>
      </x:c>
      <x:c r="E7" s="25" t="str">
        <x:v>169863</x:v>
      </x:c>
      <x:c r="F7" s="29" t="str">
        <x:v>HSB Brf Siljan i Stockholm, lgh 178</x:v>
      </x:c>
      <x:c r="G7" s="26" t="n">
        <x:v>400000</x:v>
      </x:c>
      <x:c r="H7" s="27" t="n">
        <x:v>0.0175</x:v>
      </x:c>
      <x:c r="I7" s="24" t="n">
        <x:v>43586</x:v>
      </x:c>
      <x:c r="J7" s="28" t="n">
        <x:v>30</x:v>
      </x:c>
      <x:c r="K7" s="26" t="n">
        <x:v>583</x:v>
      </x:c>
      <x:c r="L7" s="26" t="n">
        <x:v>0</x:v>
      </x:c>
      <x:c r="M7" s="26" t="n">
        <x:v>0</x:v>
      </x:c>
      <x:c r="N7" s="26" t="n">
        <x:f>SUM(K7:M7)</x:f>
        <x:v>583</x:v>
      </x:c>
      <x:c r="O7" s="25" t="str">
        <x:v>2019-06-01_02-279136.pdf</x:v>
      </x:c>
      <x:c r="P7" s="28" t="n">
        <x:v>1</x:v>
      </x:c>
      <x:c r="Q7" s="29" t="str">
        <x:v>Ingen amorteringsrad redovisas på avin.</x:v>
      </x:c>
    </x:row>
    <x:row r="8">
      <x:c r="A8" s="24" t="n">
        <x:v>43647</x:v>
      </x:c>
      <x:c r="B8" s="25" t="str">
        <x:v>Bolån</x:v>
      </x:c>
      <x:c r="C8" s="25" t="str">
        <x:v>Stadshypotek AB</x:v>
      </x:c>
      <x:c r="D8" s="25" t="str">
        <x:v>02-279136</x:v>
      </x:c>
      <x:c r="E8" s="25" t="str">
        <x:v>169863</x:v>
      </x:c>
      <x:c r="F8" s="29" t="str">
        <x:v>HSB Brf Siljan i Stockholm, lgh 178</x:v>
      </x:c>
      <x:c r="G8" s="26" t="n">
        <x:v>400000</x:v>
      </x:c>
      <x:c r="H8" s="27" t="n">
        <x:v>0.0175</x:v>
      </x:c>
      <x:c r="I8" s="24" t="n">
        <x:v>43617</x:v>
      </x:c>
      <x:c r="J8" s="28" t="n">
        <x:v>30</x:v>
      </x:c>
      <x:c r="K8" s="26" t="n">
        <x:v>583</x:v>
      </x:c>
      <x:c r="L8" s="26" t="n">
        <x:v>0</x:v>
      </x:c>
      <x:c r="M8" s="26" t="n">
        <x:v>0</x:v>
      </x:c>
      <x:c r="N8" s="26" t="n">
        <x:f>SUM(K8:M8)</x:f>
        <x:v>583</x:v>
      </x:c>
      <x:c r="O8" s="25" t="str">
        <x:v>2019-07-01_02-279136.pdf</x:v>
      </x:c>
      <x:c r="P8" s="28" t="n">
        <x:v>1</x:v>
      </x:c>
      <x:c r="Q8" s="29" t="str">
        <x:v>Ingen amorteringsrad redovisas på avin.</x:v>
      </x:c>
    </x:row>
    <x:row r="9">
      <x:c r="A9" s="24" t="n">
        <x:v>43678</x:v>
      </x:c>
      <x:c r="B9" s="25" t="str">
        <x:v>Bolån</x:v>
      </x:c>
      <x:c r="C9" s="25" t="str">
        <x:v>Stadshypotek AB</x:v>
      </x:c>
      <x:c r="D9" s="25" t="str">
        <x:v>02-279136</x:v>
      </x:c>
      <x:c r="E9" s="25" t="str">
        <x:v>169863</x:v>
      </x:c>
      <x:c r="F9" s="29" t="str">
        <x:v>HSB Brf Siljan i Stockholm, lgh 178</x:v>
      </x:c>
      <x:c r="G9" s="26" t="n">
        <x:v>400000</x:v>
      </x:c>
      <x:c r="H9" s="27" t="n">
        <x:v>0.0175</x:v>
      </x:c>
      <x:c r="I9" s="24" t="n">
        <x:v>43647</x:v>
      </x:c>
      <x:c r="J9" s="28" t="n">
        <x:v>30</x:v>
      </x:c>
      <x:c r="K9" s="26" t="n">
        <x:v>583</x:v>
      </x:c>
      <x:c r="L9" s="26" t="n">
        <x:v>0</x:v>
      </x:c>
      <x:c r="M9" s="26" t="n">
        <x:v>0</x:v>
      </x:c>
      <x:c r="N9" s="26" t="n">
        <x:f>SUM(K9:M9)</x:f>
        <x:v>583</x:v>
      </x:c>
      <x:c r="O9" s="25" t="str">
        <x:v>2019-08-01_02-279136.pdf</x:v>
      </x:c>
      <x:c r="P9" s="28" t="n">
        <x:v>1</x:v>
      </x:c>
      <x:c r="Q9" s="29" t="str">
        <x:v>Ingen amorteringsrad redovisas på avin.</x:v>
      </x:c>
    </x:row>
    <x:row r="10">
      <x:c r="A10" s="24" t="n">
        <x:v>43709</x:v>
      </x:c>
      <x:c r="B10" s="25" t="str">
        <x:v>Bolån</x:v>
      </x:c>
      <x:c r="C10" s="25" t="str">
        <x:v>Stadshypotek AB</x:v>
      </x:c>
      <x:c r="D10" s="25" t="str">
        <x:v>02-279136</x:v>
      </x:c>
      <x:c r="E10" s="25" t="str">
        <x:v>169863</x:v>
      </x:c>
      <x:c r="F10" s="29" t="str">
        <x:v>HSB Brf Siljan i Stockholm, lgh 178</x:v>
      </x:c>
      <x:c r="G10" s="26" t="n">
        <x:v>400000</x:v>
      </x:c>
      <x:c r="H10" s="27" t="n">
        <x:v>0.0175</x:v>
      </x:c>
      <x:c r="I10" s="24" t="n">
        <x:v>43678</x:v>
      </x:c>
      <x:c r="J10" s="28" t="n">
        <x:v>30</x:v>
      </x:c>
      <x:c r="K10" s="26" t="n">
        <x:v>583</x:v>
      </x:c>
      <x:c r="L10" s="26" t="n">
        <x:v>0</x:v>
      </x:c>
      <x:c r="M10" s="26" t="n">
        <x:v>0</x:v>
      </x:c>
      <x:c r="N10" s="26" t="n">
        <x:f>SUM(K10:M10)</x:f>
        <x:v>583</x:v>
      </x:c>
      <x:c r="O10" s="25" t="str">
        <x:v>2019-09-01_02-279136.pdf</x:v>
      </x:c>
      <x:c r="P10" s="28" t="n">
        <x:v>1</x:v>
      </x:c>
      <x:c r="Q10" s="29" t="str">
        <x:v>Ingen amorteringsrad redovisas på avin.</x:v>
      </x:c>
    </x:row>
    <x:row r="11">
      <x:c r="A11" s="24" t="n">
        <x:v>43739</x:v>
      </x:c>
      <x:c r="B11" s="25" t="str">
        <x:v>Bolån</x:v>
      </x:c>
      <x:c r="C11" s="25" t="str">
        <x:v>Stadshypotek AB</x:v>
      </x:c>
      <x:c r="D11" s="25" t="str">
        <x:v>02-279136</x:v>
      </x:c>
      <x:c r="E11" s="25" t="str">
        <x:v>169863</x:v>
      </x:c>
      <x:c r="F11" s="29" t="str">
        <x:v>HSB Brf Siljan i Stockholm, lgh 178</x:v>
      </x:c>
      <x:c r="G11" s="26" t="n">
        <x:v>400000</x:v>
      </x:c>
      <x:c r="H11" s="27" t="n">
        <x:v>0.0175</x:v>
      </x:c>
      <x:c r="I11" s="24" t="n">
        <x:v>43709</x:v>
      </x:c>
      <x:c r="J11" s="28" t="n">
        <x:v>30</x:v>
      </x:c>
      <x:c r="K11" s="26" t="n">
        <x:v>583</x:v>
      </x:c>
      <x:c r="L11" s="26" t="n">
        <x:v>0</x:v>
      </x:c>
      <x:c r="M11" s="26" t="n">
        <x:v>0</x:v>
      </x:c>
      <x:c r="N11" s="26" t="n">
        <x:f>SUM(K11:M11)</x:f>
        <x:v>583</x:v>
      </x:c>
      <x:c r="O11" s="25" t="str">
        <x:v>2019-10-01_02-279136.pdf</x:v>
      </x:c>
      <x:c r="P11" s="28" t="n">
        <x:v>1</x:v>
      </x:c>
      <x:c r="Q11" s="29" t="str">
        <x:v>Ingen amorteringsrad redovisas på avin.</x:v>
      </x:c>
    </x:row>
    <x:row r="12">
      <x:c r="A12" s="24" t="n">
        <x:v>43770</x:v>
      </x:c>
      <x:c r="B12" s="25" t="str">
        <x:v>Bolån</x:v>
      </x:c>
      <x:c r="C12" s="25" t="str">
        <x:v>Stadshypotek AB</x:v>
      </x:c>
      <x:c r="D12" s="25" t="str">
        <x:v>02-279136</x:v>
      </x:c>
      <x:c r="E12" s="25" t="str">
        <x:v>169863</x:v>
      </x:c>
      <x:c r="F12" s="29" t="str">
        <x:v>HSB Brf Siljan i Stockholm, lgh 178</x:v>
      </x:c>
      <x:c r="G12" s="26" t="n">
        <x:v>400000</x:v>
      </x:c>
      <x:c r="H12" s="27" t="n">
        <x:v>0.0175</x:v>
      </x:c>
      <x:c r="I12" s="24" t="n">
        <x:v>43739</x:v>
      </x:c>
      <x:c r="J12" s="28" t="n">
        <x:v>30</x:v>
      </x:c>
      <x:c r="K12" s="26" t="n">
        <x:v>583</x:v>
      </x:c>
      <x:c r="L12" s="26" t="n">
        <x:v>0</x:v>
      </x:c>
      <x:c r="M12" s="26" t="n">
        <x:v>0</x:v>
      </x:c>
      <x:c r="N12" s="26" t="n">
        <x:f>SUM(K12:M12)</x:f>
        <x:v>583</x:v>
      </x:c>
      <x:c r="O12" s="25" t="str">
        <x:v>2019-11-01_02-279136.pdf</x:v>
      </x:c>
      <x:c r="P12" s="28" t="n">
        <x:v>1</x:v>
      </x:c>
      <x:c r="Q12" s="29" t="str">
        <x:v>Ingen amorteringsrad redovisas på avin.</x:v>
      </x:c>
    </x:row>
    <x:row r="13">
      <x:c r="A13" s="24" t="n">
        <x:v>43800</x:v>
      </x:c>
      <x:c r="B13" s="25" t="str">
        <x:v>Bolån</x:v>
      </x:c>
      <x:c r="C13" s="25" t="str">
        <x:v>Stadshypotek AB</x:v>
      </x:c>
      <x:c r="D13" s="25" t="str">
        <x:v>02-279136</x:v>
      </x:c>
      <x:c r="E13" s="25" t="str">
        <x:v>169863</x:v>
      </x:c>
      <x:c r="F13" s="29" t="str">
        <x:v>HSB Brf Siljan i Stockholm, lgh 178</x:v>
      </x:c>
      <x:c r="G13" s="26" t="n">
        <x:v>400000</x:v>
      </x:c>
      <x:c r="H13" s="27" t="n">
        <x:v>0.0175</x:v>
      </x:c>
      <x:c r="I13" s="24" t="n">
        <x:v>43770</x:v>
      </x:c>
      <x:c r="J13" s="28" t="n">
        <x:v>30</x:v>
      </x:c>
      <x:c r="K13" s="26" t="n">
        <x:v>583</x:v>
      </x:c>
      <x:c r="L13" s="26" t="n">
        <x:v>0</x:v>
      </x:c>
      <x:c r="M13" s="26" t="n">
        <x:v>0</x:v>
      </x:c>
      <x:c r="N13" s="26" t="n">
        <x:f>SUM(K13:M13)</x:f>
        <x:v>583</x:v>
      </x:c>
      <x:c r="O13" s="25" t="str">
        <x:v>2019-12-01_02-279136.pdf</x:v>
      </x:c>
      <x:c r="P13" s="28" t="n">
        <x:v>1</x:v>
      </x:c>
      <x:c r="Q13" s="29" t="str">
        <x:v>Ingen amorteringsrad redovisas på avin.</x:v>
      </x:c>
    </x:row>
    <x:row r="14">
      <x:c r="A14" s="24" t="n">
        <x:v>43831</x:v>
      </x:c>
      <x:c r="B14" s="25" t="str">
        <x:v>Bolån</x:v>
      </x:c>
      <x:c r="C14" s="25" t="str">
        <x:v>Stadshypotek AB</x:v>
      </x:c>
      <x:c r="D14" s="25" t="str">
        <x:v>02-279136</x:v>
      </x:c>
      <x:c r="E14" s="25" t="str">
        <x:v>169863</x:v>
      </x:c>
      <x:c r="F14" s="29" t="str">
        <x:v>HSB Brf Siljan i Stockholm, lgh 178</x:v>
      </x:c>
      <x:c r="G14" s="26" t="n">
        <x:v>400000</x:v>
      </x:c>
      <x:c r="H14" s="27" t="n">
        <x:v>0.0175</x:v>
      </x:c>
      <x:c r="I14" s="24" t="n">
        <x:v>43800</x:v>
      </x:c>
      <x:c r="J14" s="28" t="n">
        <x:v>30</x:v>
      </x:c>
      <x:c r="K14" s="26" t="n">
        <x:v>583</x:v>
      </x:c>
      <x:c r="L14" s="26" t="n">
        <x:v>0</x:v>
      </x:c>
      <x:c r="M14" s="26" t="n">
        <x:v>0</x:v>
      </x:c>
      <x:c r="N14" s="26" t="n">
        <x:f>SUM(K14:M14)</x:f>
        <x:v>583</x:v>
      </x:c>
      <x:c r="O14" s="25" t="str">
        <x:v>2020-01-01_02-279136.pdf</x:v>
      </x:c>
      <x:c r="P14" s="28" t="n">
        <x:v>1</x:v>
      </x:c>
      <x:c r="Q14" s="29" t="str">
        <x:v>Ingen amorteringsrad redovisas på avin.</x:v>
      </x:c>
    </x:row>
    <x:row r="15">
      <x:c r="A15" s="24" t="n">
        <x:v>43862</x:v>
      </x:c>
      <x:c r="B15" s="25" t="str">
        <x:v>Bolån</x:v>
      </x:c>
      <x:c r="C15" s="25" t="str">
        <x:v>Stadshypotek AB</x:v>
      </x:c>
      <x:c r="D15" s="25" t="str">
        <x:v>02-279136</x:v>
      </x:c>
      <x:c r="E15" s="25" t="str">
        <x:v>169863</x:v>
      </x:c>
      <x:c r="F15" s="29" t="str">
        <x:v>HSB Brf Siljan i Stockholm, lgh 178</x:v>
      </x:c>
      <x:c r="G15" s="26" t="n">
        <x:v>400000</x:v>
      </x:c>
      <x:c r="H15" s="27" t="n">
        <x:v>0.02</x:v>
      </x:c>
      <x:c r="I15" s="24" t="n">
        <x:v>43831</x:v>
      </x:c>
      <x:c r="J15" s="28" t="n">
        <x:v>30</x:v>
      </x:c>
      <x:c r="K15" s="26" t="n">
        <x:v>667</x:v>
      </x:c>
      <x:c r="L15" s="26" t="n">
        <x:v>0</x:v>
      </x:c>
      <x:c r="M15" s="26" t="n">
        <x:v>0</x:v>
      </x:c>
      <x:c r="N15" s="26" t="n">
        <x:f>SUM(K15:M15)</x:f>
        <x:v>667</x:v>
      </x:c>
      <x:c r="O15" s="25" t="str">
        <x:v>2020-02-01_02-279136.pdf</x:v>
      </x:c>
      <x:c r="P15" s="28" t="n">
        <x:v>1</x:v>
      </x:c>
      <x:c r="Q15" s="29" t="str">
        <x:v>Ingen amorteringsrad redovisas på avin.</x:v>
      </x:c>
    </x:row>
    <x:row r="16">
      <x:c r="A16" s="24" t="n">
        <x:v>43891</x:v>
      </x:c>
      <x:c r="B16" s="25" t="str">
        <x:v>Bolån</x:v>
      </x:c>
      <x:c r="C16" s="25" t="str">
        <x:v>Stadshypotek AB</x:v>
      </x:c>
      <x:c r="D16" s="25" t="str">
        <x:v>02-279136</x:v>
      </x:c>
      <x:c r="E16" s="25" t="str">
        <x:v>169863</x:v>
      </x:c>
      <x:c r="F16" s="29" t="str">
        <x:v>HSB Brf Siljan i Stockholm, lgh 178</x:v>
      </x:c>
      <x:c r="G16" s="26" t="n">
        <x:v>400000</x:v>
      </x:c>
      <x:c r="H16" s="27" t="n">
        <x:v>0.02</x:v>
      </x:c>
      <x:c r="I16" s="24" t="n">
        <x:v>43862</x:v>
      </x:c>
      <x:c r="J16" s="28" t="n">
        <x:v>30</x:v>
      </x:c>
      <x:c r="K16" s="26" t="n">
        <x:v>667</x:v>
      </x:c>
      <x:c r="L16" s="26" t="n">
        <x:v>0</x:v>
      </x:c>
      <x:c r="M16" s="26" t="n">
        <x:v>0</x:v>
      </x:c>
      <x:c r="N16" s="26" t="n">
        <x:f>SUM(K16:M16)</x:f>
        <x:v>667</x:v>
      </x:c>
      <x:c r="O16" s="25" t="str">
        <x:v>2020-03-01_02-279136.pdf</x:v>
      </x:c>
      <x:c r="P16" s="28" t="n">
        <x:v>1</x:v>
      </x:c>
      <x:c r="Q16" s="29" t="str">
        <x:v>Ingen amorteringsrad redovisas på avin.</x:v>
      </x:c>
    </x:row>
    <x:row r="17">
      <x:c r="A17" s="24" t="n">
        <x:v>43922</x:v>
      </x:c>
      <x:c r="B17" s="25" t="str">
        <x:v>Bolån</x:v>
      </x:c>
      <x:c r="C17" s="25" t="str">
        <x:v>Stadshypotek AB</x:v>
      </x:c>
      <x:c r="D17" s="25" t="str">
        <x:v>02-279136</x:v>
      </x:c>
      <x:c r="E17" s="25" t="str">
        <x:v>169863</x:v>
      </x:c>
      <x:c r="F17" s="29" t="str">
        <x:v>HSB Brf Siljan i Stockholm, lgh 178</x:v>
      </x:c>
      <x:c r="G17" s="26" t="n">
        <x:v>400000</x:v>
      </x:c>
      <x:c r="H17" s="27" t="n">
        <x:v>0.02</x:v>
      </x:c>
      <x:c r="I17" s="24" t="n">
        <x:v>43891</x:v>
      </x:c>
      <x:c r="J17" s="28" t="n">
        <x:v>30</x:v>
      </x:c>
      <x:c r="K17" s="26" t="n">
        <x:v>667</x:v>
      </x:c>
      <x:c r="L17" s="26" t="n">
        <x:v>0</x:v>
      </x:c>
      <x:c r="M17" s="26" t="n">
        <x:v>0</x:v>
      </x:c>
      <x:c r="N17" s="26" t="n">
        <x:f>SUM(K17:M17)</x:f>
        <x:v>667</x:v>
      </x:c>
      <x:c r="O17" s="25" t="str">
        <x:v>2020-04-01_02-279136.pdf</x:v>
      </x:c>
      <x:c r="P17" s="28" t="n">
        <x:v>1</x:v>
      </x:c>
      <x:c r="Q17" s="29" t="str">
        <x:v>Ingen amorteringsrad redovisas på avin.</x:v>
      </x:c>
    </x:row>
    <x:row r="18">
      <x:c r="A18" s="24" t="n">
        <x:v>43952</x:v>
      </x:c>
      <x:c r="B18" s="25" t="str">
        <x:v>Bolån</x:v>
      </x:c>
      <x:c r="C18" s="25" t="str">
        <x:v>Stadshypotek AB</x:v>
      </x:c>
      <x:c r="D18" s="25" t="str">
        <x:v>02-279136</x:v>
      </x:c>
      <x:c r="E18" s="25" t="str">
        <x:v>169863</x:v>
      </x:c>
      <x:c r="F18" s="29" t="str">
        <x:v>HSB Brf Siljan i Stockholm, lgh 178</x:v>
      </x:c>
      <x:c r="G18" s="26" t="n">
        <x:v>400000</x:v>
      </x:c>
      <x:c r="H18" s="27" t="n">
        <x:v>0.02</x:v>
      </x:c>
      <x:c r="I18" s="24" t="n">
        <x:v>43922</x:v>
      </x:c>
      <x:c r="J18" s="28" t="n">
        <x:v>30</x:v>
      </x:c>
      <x:c r="K18" s="26" t="n">
        <x:v>667</x:v>
      </x:c>
      <x:c r="L18" s="26" t="n">
        <x:v>0</x:v>
      </x:c>
      <x:c r="M18" s="26" t="n">
        <x:v>0</x:v>
      </x:c>
      <x:c r="N18" s="26" t="n">
        <x:f>SUM(K18:M18)</x:f>
        <x:v>667</x:v>
      </x:c>
      <x:c r="O18" s="25" t="str">
        <x:v>2020-05-01_02-279136.pdf</x:v>
      </x:c>
      <x:c r="P18" s="28" t="n">
        <x:v>1</x:v>
      </x:c>
      <x:c r="Q18" s="29" t="str">
        <x:v>Ingen amorteringsrad redovisas på avin.</x:v>
      </x:c>
    </x:row>
    <x:row r="19">
      <x:c r="A19" s="24" t="n">
        <x:v>43983</x:v>
      </x:c>
      <x:c r="B19" s="25" t="str">
        <x:v>Bolån</x:v>
      </x:c>
      <x:c r="C19" s="25" t="str">
        <x:v>Stadshypotek AB</x:v>
      </x:c>
      <x:c r="D19" s="25" t="str">
        <x:v>02-279136</x:v>
      </x:c>
      <x:c r="E19" s="25" t="str">
        <x:v>169863</x:v>
      </x:c>
      <x:c r="F19" s="29" t="str">
        <x:v>HSB Brf Siljan i Stockholm, lgh 178</x:v>
      </x:c>
      <x:c r="G19" s="26" t="n">
        <x:v>400000</x:v>
      </x:c>
      <x:c r="H19" s="27" t="n">
        <x:v>0.02</x:v>
      </x:c>
      <x:c r="I19" s="24" t="n">
        <x:v>43952</x:v>
      </x:c>
      <x:c r="J19" s="28" t="n">
        <x:v>30</x:v>
      </x:c>
      <x:c r="K19" s="26" t="n">
        <x:v>667</x:v>
      </x:c>
      <x:c r="L19" s="26" t="n">
        <x:v>0</x:v>
      </x:c>
      <x:c r="M19" s="26" t="n">
        <x:v>0</x:v>
      </x:c>
      <x:c r="N19" s="26" t="n">
        <x:f>SUM(K19:M19)</x:f>
        <x:v>667</x:v>
      </x:c>
      <x:c r="O19" s="25" t="str">
        <x:v>2020-06-01_02-279136.pdf</x:v>
      </x:c>
      <x:c r="P19" s="28" t="n">
        <x:v>1</x:v>
      </x:c>
      <x:c r="Q19" s="29" t="str">
        <x:v>Ingen amorteringsrad redovisas på avin.</x:v>
      </x:c>
    </x:row>
    <x:row r="20">
      <x:c r="A20" s="24" t="n">
        <x:v>44013</x:v>
      </x:c>
      <x:c r="B20" s="25" t="str">
        <x:v>Bolån</x:v>
      </x:c>
      <x:c r="C20" s="25" t="str">
        <x:v>Stadshypotek AB</x:v>
      </x:c>
      <x:c r="D20" s="25" t="str">
        <x:v>02-279136</x:v>
      </x:c>
      <x:c r="E20" s="25" t="str">
        <x:v>169863</x:v>
      </x:c>
      <x:c r="F20" s="29" t="str">
        <x:v>HSB Brf Siljan i Stockholm, lgh 178</x:v>
      </x:c>
      <x:c r="G20" s="26" t="n">
        <x:v>400000</x:v>
      </x:c>
      <x:c r="H20" s="27" t="n">
        <x:v>0.02</x:v>
      </x:c>
      <x:c r="I20" s="24" t="n">
        <x:v>43983</x:v>
      </x:c>
      <x:c r="J20" s="28" t="n">
        <x:v>30</x:v>
      </x:c>
      <x:c r="K20" s="26" t="n">
        <x:v>667</x:v>
      </x:c>
      <x:c r="L20" s="26" t="n">
        <x:v>0</x:v>
      </x:c>
      <x:c r="M20" s="26" t="n">
        <x:v>0</x:v>
      </x:c>
      <x:c r="N20" s="26" t="n">
        <x:f>SUM(K20:M20)</x:f>
        <x:v>667</x:v>
      </x:c>
      <x:c r="O20" s="25" t="str">
        <x:v>2020-07-01_02-279136.pdf</x:v>
      </x:c>
      <x:c r="P20" s="28" t="n">
        <x:v>1</x:v>
      </x:c>
      <x:c r="Q20" s="29" t="str">
        <x:v>Ingen amorteringsrad redovisas på avin.</x:v>
      </x:c>
    </x:row>
    <x:row r="21">
      <x:c r="A21" s="24" t="n">
        <x:v>44044</x:v>
      </x:c>
      <x:c r="B21" s="25" t="str">
        <x:v>Bolån</x:v>
      </x:c>
      <x:c r="C21" s="25" t="str">
        <x:v>Stadshypotek AB</x:v>
      </x:c>
      <x:c r="D21" s="25" t="str">
        <x:v>02-279136</x:v>
      </x:c>
      <x:c r="E21" s="25" t="str">
        <x:v>169863</x:v>
      </x:c>
      <x:c r="F21" s="29" t="str">
        <x:v>HSB Brf Siljan i Stockholm, lgh 178</x:v>
      </x:c>
      <x:c r="G21" s="26" t="n">
        <x:v>400000</x:v>
      </x:c>
      <x:c r="H21" s="27" t="n">
        <x:v>0.025</x:v>
      </x:c>
      <x:c r="I21" s="24" t="n">
        <x:v>44013</x:v>
      </x:c>
      <x:c r="J21" s="28" t="n">
        <x:v>30</x:v>
      </x:c>
      <x:c r="K21" s="26" t="n">
        <x:v>833</x:v>
      </x:c>
      <x:c r="L21" s="26" t="n">
        <x:v>0</x:v>
      </x:c>
      <x:c r="M21" s="26" t="n">
        <x:v>0</x:v>
      </x:c>
      <x:c r="N21" s="26" t="n">
        <x:f>SUM(K21:M21)</x:f>
        <x:v>833</x:v>
      </x:c>
      <x:c r="O21" s="25" t="str">
        <x:v>2020-08-01_02-279136.pdf</x:v>
      </x:c>
      <x:c r="P21" s="28" t="n">
        <x:v>1</x:v>
      </x:c>
      <x:c r="Q21" s="29" t="str">
        <x:v>Ingen amorteringsrad redovisas på avin.</x:v>
      </x:c>
    </x:row>
    <x:row r="22">
      <x:c r="A22" s="24" t="n">
        <x:v>44075</x:v>
      </x:c>
      <x:c r="B22" s="25" t="str">
        <x:v>Bolån</x:v>
      </x:c>
      <x:c r="C22" s="25" t="str">
        <x:v>Stadshypotek AB</x:v>
      </x:c>
      <x:c r="D22" s="25" t="str">
        <x:v>02-279136</x:v>
      </x:c>
      <x:c r="E22" s="25" t="str">
        <x:v>169863</x:v>
      </x:c>
      <x:c r="F22" s="29" t="str">
        <x:v>HSB Brf Siljan i Stockholm, lgh 178</x:v>
      </x:c>
      <x:c r="G22" s="26" t="n">
        <x:v>400000</x:v>
      </x:c>
      <x:c r="H22" s="27" t="n">
        <x:v>0.025</x:v>
      </x:c>
      <x:c r="I22" s="24" t="n">
        <x:v>44044</x:v>
      </x:c>
      <x:c r="J22" s="28" t="n">
        <x:v>30</x:v>
      </x:c>
      <x:c r="K22" s="26" t="n">
        <x:v>833</x:v>
      </x:c>
      <x:c r="L22" s="26" t="n">
        <x:v>0</x:v>
      </x:c>
      <x:c r="M22" s="26" t="n">
        <x:v>0</x:v>
      </x:c>
      <x:c r="N22" s="26" t="n">
        <x:f>SUM(K22:M22)</x:f>
        <x:v>833</x:v>
      </x:c>
      <x:c r="O22" s="25" t="str">
        <x:v>2020-09-01_02-279136.pdf</x:v>
      </x:c>
      <x:c r="P22" s="28" t="n">
        <x:v>1</x:v>
      </x:c>
      <x:c r="Q22" s="29" t="str">
        <x:v>Ingen amorteringsrad redovisas på avin.</x:v>
      </x:c>
    </x:row>
    <x:row r="23">
      <x:c r="A23" s="24" t="n">
        <x:v>44105</x:v>
      </x:c>
      <x:c r="B23" s="25" t="str">
        <x:v>Bolån</x:v>
      </x:c>
      <x:c r="C23" s="25" t="str">
        <x:v>Stadshypotek AB</x:v>
      </x:c>
      <x:c r="D23" s="25" t="str">
        <x:v>02-279136</x:v>
      </x:c>
      <x:c r="E23" s="25" t="str">
        <x:v>169863</x:v>
      </x:c>
      <x:c r="F23" s="29" t="str">
        <x:v>HSB Brf Siljan i Stockholm, lgh 178</x:v>
      </x:c>
      <x:c r="G23" s="26" t="n">
        <x:v>400000</x:v>
      </x:c>
      <x:c r="H23" s="27" t="n">
        <x:v>0.025</x:v>
      </x:c>
      <x:c r="I23" s="24" t="n">
        <x:v>44075</x:v>
      </x:c>
      <x:c r="J23" s="28" t="n">
        <x:v>30</x:v>
      </x:c>
      <x:c r="K23" s="26" t="n">
        <x:v>833</x:v>
      </x:c>
      <x:c r="L23" s="26" t="n">
        <x:v>0</x:v>
      </x:c>
      <x:c r="M23" s="26" t="n">
        <x:v>0</x:v>
      </x:c>
      <x:c r="N23" s="26" t="n">
        <x:f>SUM(K23:M23)</x:f>
        <x:v>833</x:v>
      </x:c>
      <x:c r="O23" s="25" t="str">
        <x:v>2020-10-01_02-279136.pdf</x:v>
      </x:c>
      <x:c r="P23" s="28" t="n">
        <x:v>1</x:v>
      </x:c>
      <x:c r="Q23" s="29" t="str">
        <x:v>Ingen amorteringsrad redovisas på avin.</x:v>
      </x:c>
    </x:row>
    <x:row r="24">
      <x:c r="A24" s="24" t="n">
        <x:v>44136</x:v>
      </x:c>
      <x:c r="B24" s="25" t="str">
        <x:v>Bolån</x:v>
      </x:c>
      <x:c r="C24" s="25" t="str">
        <x:v>Stadshypotek AB</x:v>
      </x:c>
      <x:c r="D24" s="25" t="str">
        <x:v>02-279136</x:v>
      </x:c>
      <x:c r="E24" s="25" t="str">
        <x:v>169863</x:v>
      </x:c>
      <x:c r="F24" s="29" t="str">
        <x:v>HSB Brf Siljan i Stockholm, lgh 178</x:v>
      </x:c>
      <x:c r="G24" s="26" t="n">
        <x:v>400000</x:v>
      </x:c>
      <x:c r="H24" s="27" t="n">
        <x:v>0.0239</x:v>
      </x:c>
      <x:c r="I24" s="24" t="n">
        <x:v>44105</x:v>
      </x:c>
      <x:c r="J24" s="28" t="n">
        <x:v>30</x:v>
      </x:c>
      <x:c r="K24" s="26" t="n">
        <x:v>797</x:v>
      </x:c>
      <x:c r="L24" s="26" t="n">
        <x:v>0</x:v>
      </x:c>
      <x:c r="M24" s="26" t="n">
        <x:v>0</x:v>
      </x:c>
      <x:c r="N24" s="26" t="n">
        <x:f>SUM(K24:M24)</x:f>
        <x:v>797</x:v>
      </x:c>
      <x:c r="O24" s="25" t="str">
        <x:v>2020-11-01_02-279136.pdf</x:v>
      </x:c>
      <x:c r="P24" s="28" t="n">
        <x:v>1</x:v>
      </x:c>
      <x:c r="Q24" s="29" t="str">
        <x:v>Ingen amorteringsrad redovisas på avin.</x:v>
      </x:c>
    </x:row>
    <x:row r="25">
      <x:c r="A25" s="24" t="n">
        <x:v>44166</x:v>
      </x:c>
      <x:c r="B25" s="25" t="str">
        <x:v>Bolån</x:v>
      </x:c>
      <x:c r="C25" s="25" t="str">
        <x:v>Stadshypotek AB</x:v>
      </x:c>
      <x:c r="D25" s="25" t="str">
        <x:v>02-279136</x:v>
      </x:c>
      <x:c r="E25" s="25" t="str">
        <x:v>169863</x:v>
      </x:c>
      <x:c r="F25" s="29" t="str">
        <x:v>HSB Brf Siljan i Stockholm, lgh 178</x:v>
      </x:c>
      <x:c r="G25" s="26" t="n">
        <x:v>400000</x:v>
      </x:c>
      <x:c r="H25" s="27" t="n">
        <x:v>0.0239</x:v>
      </x:c>
      <x:c r="I25" s="24" t="n">
        <x:v>44136</x:v>
      </x:c>
      <x:c r="J25" s="28" t="n">
        <x:v>30</x:v>
      </x:c>
      <x:c r="K25" s="26" t="n">
        <x:v>797</x:v>
      </x:c>
      <x:c r="L25" s="26" t="n">
        <x:v>0</x:v>
      </x:c>
      <x:c r="M25" s="26" t="n">
        <x:v>0</x:v>
      </x:c>
      <x:c r="N25" s="26" t="n">
        <x:f>SUM(K25:M25)</x:f>
        <x:v>797</x:v>
      </x:c>
      <x:c r="O25" s="25" t="str">
        <x:v>2020-12-01_02-279136.pdf</x:v>
      </x:c>
      <x:c r="P25" s="28" t="n">
        <x:v>1</x:v>
      </x:c>
      <x:c r="Q25" s="29" t="str">
        <x:v>Ingen amorteringsrad redovisas på avin.</x:v>
      </x:c>
    </x:row>
    <x:row r="26">
      <x:c r="A26" s="24" t="n">
        <x:v>44197</x:v>
      </x:c>
      <x:c r="B26" s="25" t="str">
        <x:v>Bolån</x:v>
      </x:c>
      <x:c r="C26" s="25" t="str">
        <x:v>Stadshypotek AB</x:v>
      </x:c>
      <x:c r="D26" s="25" t="str">
        <x:v>02-279136</x:v>
      </x:c>
      <x:c r="E26" s="25" t="str">
        <x:v>169863</x:v>
      </x:c>
      <x:c r="F26" s="29" t="str">
        <x:v>HSB Brf Siljan i Stockholm, lgh 178</x:v>
      </x:c>
      <x:c r="G26" s="26" t="n">
        <x:v>400000</x:v>
      </x:c>
      <x:c r="H26" s="27" t="n">
        <x:v>0.0239</x:v>
      </x:c>
      <x:c r="I26" s="24" t="n">
        <x:v>44166</x:v>
      </x:c>
      <x:c r="J26" s="28" t="n">
        <x:v>30</x:v>
      </x:c>
      <x:c r="K26" s="26" t="n">
        <x:v>797</x:v>
      </x:c>
      <x:c r="L26" s="26" t="n">
        <x:v>0</x:v>
      </x:c>
      <x:c r="M26" s="26" t="n">
        <x:v>0</x:v>
      </x:c>
      <x:c r="N26" s="26" t="n">
        <x:f>SUM(K26:M26)</x:f>
        <x:v>797</x:v>
      </x:c>
      <x:c r="O26" s="25" t="str">
        <x:v>2021-01-01_02-279136.pdf</x:v>
      </x:c>
      <x:c r="P26" s="28" t="n">
        <x:v>1</x:v>
      </x:c>
      <x:c r="Q26" s="29" t="str">
        <x:v>Ingen amorteringsrad redovisas på avin.</x:v>
      </x:c>
    </x:row>
    <x:row r="27">
      <x:c r="A27" s="24" t="n">
        <x:v>44228</x:v>
      </x:c>
      <x:c r="B27" s="25" t="str">
        <x:v>Bolån</x:v>
      </x:c>
      <x:c r="C27" s="25" t="str">
        <x:v>Stadshypotek AB</x:v>
      </x:c>
      <x:c r="D27" s="25" t="str">
        <x:v>02-279136</x:v>
      </x:c>
      <x:c r="E27" s="25" t="str">
        <x:v>169863</x:v>
      </x:c>
      <x:c r="F27" s="29" t="str">
        <x:v>HSB Brf Siljan i Stockholm, lgh 178</x:v>
      </x:c>
      <x:c r="G27" s="26" t="n">
        <x:v>400000</x:v>
      </x:c>
      <x:c r="H27" s="27" t="n">
        <x:v>0.023399999999999997</x:v>
      </x:c>
      <x:c r="I27" s="24" t="n">
        <x:v>44197</x:v>
      </x:c>
      <x:c r="J27" s="28" t="n">
        <x:v>30</x:v>
      </x:c>
      <x:c r="K27" s="26" t="n">
        <x:v>780</x:v>
      </x:c>
      <x:c r="L27" s="26" t="n">
        <x:v>0</x:v>
      </x:c>
      <x:c r="M27" s="26" t="n">
        <x:v>0</x:v>
      </x:c>
      <x:c r="N27" s="26" t="n">
        <x:f>SUM(K27:M27)</x:f>
        <x:v>780</x:v>
      </x:c>
      <x:c r="O27" s="25" t="str">
        <x:v>2021-02-01_02-279136.pdf</x:v>
      </x:c>
      <x:c r="P27" s="28" t="n">
        <x:v>1</x:v>
      </x:c>
      <x:c r="Q27" s="29" t="str">
        <x:v>Ingen amorteringsrad redovisas på avin.</x:v>
      </x:c>
    </x:row>
    <x:row r="28">
      <x:c r="A28" s="24" t="n">
        <x:v>44256</x:v>
      </x:c>
      <x:c r="B28" s="25" t="str">
        <x:v>Bolån</x:v>
      </x:c>
      <x:c r="C28" s="25" t="str">
        <x:v>Stadshypotek AB</x:v>
      </x:c>
      <x:c r="D28" s="25" t="str">
        <x:v>02-279136</x:v>
      </x:c>
      <x:c r="E28" s="25" t="str">
        <x:v>169863</x:v>
      </x:c>
      <x:c r="F28" s="29" t="str">
        <x:v>HSB Brf Siljan i Stockholm, lgh 178</x:v>
      </x:c>
      <x:c r="G28" s="26" t="n">
        <x:v>400000</x:v>
      </x:c>
      <x:c r="H28" s="27" t="n">
        <x:v>0.023399999999999997</x:v>
      </x:c>
      <x:c r="I28" s="24" t="n">
        <x:v>44228</x:v>
      </x:c>
      <x:c r="J28" s="28" t="n">
        <x:v>30</x:v>
      </x:c>
      <x:c r="K28" s="26" t="n">
        <x:v>780</x:v>
      </x:c>
      <x:c r="L28" s="26" t="n">
        <x:v>0</x:v>
      </x:c>
      <x:c r="M28" s="26" t="n">
        <x:v>0</x:v>
      </x:c>
      <x:c r="N28" s="26" t="n">
        <x:f>SUM(K28:M28)</x:f>
        <x:v>780</x:v>
      </x:c>
      <x:c r="O28" s="25" t="str">
        <x:v>2021-03-01_02-279136.pdf</x:v>
      </x:c>
      <x:c r="P28" s="28" t="n">
        <x:v>1</x:v>
      </x:c>
      <x:c r="Q28" s="29" t="str">
        <x:v>Ingen amorteringsrad redovisas på avin.</x:v>
      </x:c>
    </x:row>
    <x:row r="29">
      <x:c r="A29" s="24" t="n">
        <x:v>44287</x:v>
      </x:c>
      <x:c r="B29" s="25" t="str">
        <x:v>Bolån</x:v>
      </x:c>
      <x:c r="C29" s="25" t="str">
        <x:v>Stadshypotek AB</x:v>
      </x:c>
      <x:c r="D29" s="25" t="str">
        <x:v>02-279136</x:v>
      </x:c>
      <x:c r="E29" s="25" t="str">
        <x:v>169863</x:v>
      </x:c>
      <x:c r="F29" s="29" t="str">
        <x:v>HSB Brf Siljan i Stockholm, lgh 178</x:v>
      </x:c>
      <x:c r="G29" s="26" t="n">
        <x:v>400000</x:v>
      </x:c>
      <x:c r="H29" s="27" t="n">
        <x:v>0.023399999999999997</x:v>
      </x:c>
      <x:c r="I29" s="24" t="n">
        <x:v>44256</x:v>
      </x:c>
      <x:c r="J29" s="28" t="n">
        <x:v>30</x:v>
      </x:c>
      <x:c r="K29" s="26" t="n">
        <x:v>780</x:v>
      </x:c>
      <x:c r="L29" s="26" t="n">
        <x:v>0</x:v>
      </x:c>
      <x:c r="M29" s="26" t="n">
        <x:v>0</x:v>
      </x:c>
      <x:c r="N29" s="26" t="n">
        <x:f>SUM(K29:M29)</x:f>
        <x:v>780</x:v>
      </x:c>
      <x:c r="O29" s="25" t="str">
        <x:v>2021-04-01_02-279136.pdf</x:v>
      </x:c>
      <x:c r="P29" s="28" t="n">
        <x:v>1</x:v>
      </x:c>
      <x:c r="Q29" s="29" t="str">
        <x:v>Ingen amorteringsrad redovisas på avin.</x:v>
      </x:c>
    </x:row>
    <x:row r="30">
      <x:c r="A30" s="24" t="n">
        <x:v>44317</x:v>
      </x:c>
      <x:c r="B30" s="25" t="str">
        <x:v>Bolån</x:v>
      </x:c>
      <x:c r="C30" s="25" t="str">
        <x:v>Stadshypotek AB</x:v>
      </x:c>
      <x:c r="D30" s="25" t="str">
        <x:v>02-279136</x:v>
      </x:c>
      <x:c r="E30" s="25" t="str">
        <x:v>169863</x:v>
      </x:c>
      <x:c r="F30" s="29" t="str">
        <x:v>HSB Brf Siljan i Stockholm, lgh 178</x:v>
      </x:c>
      <x:c r="G30" s="26" t="n">
        <x:v>400000</x:v>
      </x:c>
      <x:c r="H30" s="27" t="n">
        <x:v>0.023399999999999997</x:v>
      </x:c>
      <x:c r="I30" s="24" t="n">
        <x:v>44287</x:v>
      </x:c>
      <x:c r="J30" s="28" t="n">
        <x:v>30</x:v>
      </x:c>
      <x:c r="K30" s="26" t="n">
        <x:v>780</x:v>
      </x:c>
      <x:c r="L30" s="26" t="n">
        <x:v>0</x:v>
      </x:c>
      <x:c r="M30" s="26" t="n">
        <x:v>0</x:v>
      </x:c>
      <x:c r="N30" s="26" t="n">
        <x:f>SUM(K30:M30)</x:f>
        <x:v>780</x:v>
      </x:c>
      <x:c r="O30" s="25" t="str">
        <x:v>2021-05-01_02-279136.pdf</x:v>
      </x:c>
      <x:c r="P30" s="28" t="n">
        <x:v>1</x:v>
      </x:c>
      <x:c r="Q30" s="29" t="str">
        <x:v>Ingen amorteringsrad redovisas på avin.</x:v>
      </x:c>
    </x:row>
    <x:row r="31">
      <x:c r="A31" s="24" t="n">
        <x:v>44348</x:v>
      </x:c>
      <x:c r="B31" s="25" t="str">
        <x:v>Bolån</x:v>
      </x:c>
      <x:c r="C31" s="25" t="str">
        <x:v>Stadshypotek AB</x:v>
      </x:c>
      <x:c r="D31" s="25" t="str">
        <x:v>02-279136</x:v>
      </x:c>
      <x:c r="E31" s="25" t="str">
        <x:v>169863</x:v>
      </x:c>
      <x:c r="F31" s="29" t="str">
        <x:v>HSB Brf Siljan i Stockholm, lgh 178</x:v>
      </x:c>
      <x:c r="G31" s="26" t="n">
        <x:v>400000</x:v>
      </x:c>
      <x:c r="H31" s="27" t="n">
        <x:v>0.023399999999999997</x:v>
      </x:c>
      <x:c r="I31" s="24" t="n">
        <x:v>44317</x:v>
      </x:c>
      <x:c r="J31" s="28" t="n">
        <x:v>30</x:v>
      </x:c>
      <x:c r="K31" s="26" t="n">
        <x:v>780</x:v>
      </x:c>
      <x:c r="L31" s="26" t="n">
        <x:v>0</x:v>
      </x:c>
      <x:c r="M31" s="26" t="n">
        <x:v>0</x:v>
      </x:c>
      <x:c r="N31" s="26" t="n">
        <x:f>SUM(K31:M31)</x:f>
        <x:v>780</x:v>
      </x:c>
      <x:c r="O31" s="25" t="str">
        <x:v>2021-06-01_02-279136.pdf</x:v>
      </x:c>
      <x:c r="P31" s="28" t="n">
        <x:v>1</x:v>
      </x:c>
      <x:c r="Q31" s="29" t="str">
        <x:v>Ingen amorteringsrad redovisas på avin.</x:v>
      </x:c>
    </x:row>
    <x:row r="32">
      <x:c r="A32" s="24" t="n">
        <x:v>44378</x:v>
      </x:c>
      <x:c r="B32" s="25" t="str">
        <x:v>Bolån</x:v>
      </x:c>
      <x:c r="C32" s="25" t="str">
        <x:v>Stadshypotek AB</x:v>
      </x:c>
      <x:c r="D32" s="25" t="str">
        <x:v>02-279136</x:v>
      </x:c>
      <x:c r="E32" s="25" t="str">
        <x:v>169863</x:v>
      </x:c>
      <x:c r="F32" s="29" t="str">
        <x:v>HSB Brf Siljan i Stockholm, lgh 178</x:v>
      </x:c>
      <x:c r="G32" s="26" t="n">
        <x:v>400000</x:v>
      </x:c>
      <x:c r="H32" s="27" t="n">
        <x:v>0.023399999999999997</x:v>
      </x:c>
      <x:c r="I32" s="24" t="n">
        <x:v>44348</x:v>
      </x:c>
      <x:c r="J32" s="28" t="n">
        <x:v>30</x:v>
      </x:c>
      <x:c r="K32" s="26" t="n">
        <x:v>780</x:v>
      </x:c>
      <x:c r="L32" s="26" t="n">
        <x:v>0</x:v>
      </x:c>
      <x:c r="M32" s="26" t="n">
        <x:v>0</x:v>
      </x:c>
      <x:c r="N32" s="26" t="n">
        <x:f>SUM(K32:M32)</x:f>
        <x:v>780</x:v>
      </x:c>
      <x:c r="O32" s="25" t="str">
        <x:v>2021-07-01_02-279136.pdf</x:v>
      </x:c>
      <x:c r="P32" s="28" t="n">
        <x:v>1</x:v>
      </x:c>
      <x:c r="Q32" s="29" t="str">
        <x:v>Ingen amorteringsrad redovisas på avin.</x:v>
      </x:c>
    </x:row>
    <x:row r="33">
      <x:c r="A33" s="24" t="n">
        <x:v>44409</x:v>
      </x:c>
      <x:c r="B33" s="25" t="str">
        <x:v>Bolån</x:v>
      </x:c>
      <x:c r="C33" s="25" t="str">
        <x:v>Stadshypotek AB</x:v>
      </x:c>
      <x:c r="D33" s="25" t="str">
        <x:v>02-279136</x:v>
      </x:c>
      <x:c r="E33" s="25" t="str">
        <x:v>169863</x:v>
      </x:c>
      <x:c r="F33" s="29" t="str">
        <x:v>HSB Brf Siljan i Stockholm, lgh 178</x:v>
      </x:c>
      <x:c r="G33" s="26" t="n">
        <x:v>400000</x:v>
      </x:c>
      <x:c r="H33" s="27" t="n">
        <x:v>0.023399999999999997</x:v>
      </x:c>
      <x:c r="I33" s="24" t="n">
        <x:v>44378</x:v>
      </x:c>
      <x:c r="J33" s="28" t="n">
        <x:v>30</x:v>
      </x:c>
      <x:c r="K33" s="26" t="n">
        <x:v>780</x:v>
      </x:c>
      <x:c r="L33" s="26" t="n">
        <x:v>0</x:v>
      </x:c>
      <x:c r="M33" s="26" t="n">
        <x:v>0</x:v>
      </x:c>
      <x:c r="N33" s="26" t="n">
        <x:f>SUM(K33:M33)</x:f>
        <x:v>780</x:v>
      </x:c>
      <x:c r="O33" s="25" t="str">
        <x:v>2021-08-01_02-279136.pdf</x:v>
      </x:c>
      <x:c r="P33" s="28" t="n">
        <x:v>1</x:v>
      </x:c>
      <x:c r="Q33" s="29" t="str">
        <x:v>Ingen amorteringsrad redovisas på avin.</x:v>
      </x:c>
    </x:row>
    <x:row r="34">
      <x:c r="A34" s="24" t="n">
        <x:v>44440</x:v>
      </x:c>
      <x:c r="B34" s="25" t="str">
        <x:v>Bolån</x:v>
      </x:c>
      <x:c r="C34" s="25" t="str">
        <x:v>Stadshypotek AB</x:v>
      </x:c>
      <x:c r="D34" s="25" t="str">
        <x:v>02-279136</x:v>
      </x:c>
      <x:c r="E34" s="25" t="str">
        <x:v>169863</x:v>
      </x:c>
      <x:c r="F34" s="29" t="str">
        <x:v>HSB Brf Siljan i Stockholm, lgh 178</x:v>
      </x:c>
      <x:c r="G34" s="26" t="n">
        <x:v>400000</x:v>
      </x:c>
      <x:c r="H34" s="27" t="n">
        <x:v>0.023399999999999997</x:v>
      </x:c>
      <x:c r="I34" s="24" t="n">
        <x:v>44409</x:v>
      </x:c>
      <x:c r="J34" s="28" t="n">
        <x:v>30</x:v>
      </x:c>
      <x:c r="K34" s="26" t="n">
        <x:v>780</x:v>
      </x:c>
      <x:c r="L34" s="26" t="n">
        <x:v>0</x:v>
      </x:c>
      <x:c r="M34" s="26" t="n">
        <x:v>0</x:v>
      </x:c>
      <x:c r="N34" s="26" t="n">
        <x:f>SUM(K34:M34)</x:f>
        <x:v>780</x:v>
      </x:c>
      <x:c r="O34" s="25" t="str">
        <x:v>2021-09-01_02-279136.pdf</x:v>
      </x:c>
      <x:c r="P34" s="28" t="n">
        <x:v>1</x:v>
      </x:c>
      <x:c r="Q34" s="29" t="str">
        <x:v>Ingen amorteringsrad redovisas på avin.</x:v>
      </x:c>
    </x:row>
    <x:row r="35">
      <x:c r="A35" s="24" t="n">
        <x:v>44470</x:v>
      </x:c>
      <x:c r="B35" s="25" t="str">
        <x:v>Bolån</x:v>
      </x:c>
      <x:c r="C35" s="25" t="str">
        <x:v>Stadshypotek AB</x:v>
      </x:c>
      <x:c r="D35" s="25" t="str">
        <x:v>02-279136</x:v>
      </x:c>
      <x:c r="E35" s="25" t="str">
        <x:v>169863</x:v>
      </x:c>
      <x:c r="F35" s="29" t="str">
        <x:v>HSB Brf Siljan i Stockholm, lgh 178</x:v>
      </x:c>
      <x:c r="G35" s="26" t="n">
        <x:v>400000</x:v>
      </x:c>
      <x:c r="H35" s="27" t="n">
        <x:v>0.023399999999999997</x:v>
      </x:c>
      <x:c r="I35" s="24" t="n">
        <x:v>44440</x:v>
      </x:c>
      <x:c r="J35" s="28" t="n">
        <x:v>30</x:v>
      </x:c>
      <x:c r="K35" s="26" t="n">
        <x:v>780</x:v>
      </x:c>
      <x:c r="L35" s="26" t="n">
        <x:v>0</x:v>
      </x:c>
      <x:c r="M35" s="26" t="n">
        <x:v>0</x:v>
      </x:c>
      <x:c r="N35" s="26" t="n">
        <x:f>SUM(K35:M35)</x:f>
        <x:v>780</x:v>
      </x:c>
      <x:c r="O35" s="25" t="str">
        <x:v>2021-10-01_02-279136.pdf</x:v>
      </x:c>
      <x:c r="P35" s="28" t="n">
        <x:v>1</x:v>
      </x:c>
      <x:c r="Q35" s="29" t="str">
        <x:v>Ingen amorteringsrad redovisas på avin.</x:v>
      </x:c>
    </x:row>
    <x:row r="36">
      <x:c r="A36" s="24" t="n">
        <x:v>44501</x:v>
      </x:c>
      <x:c r="B36" s="25" t="str">
        <x:v>Bolån</x:v>
      </x:c>
      <x:c r="C36" s="25" t="str">
        <x:v>Stadshypotek AB</x:v>
      </x:c>
      <x:c r="D36" s="25" t="str">
        <x:v>02-279136</x:v>
      </x:c>
      <x:c r="E36" s="25" t="str">
        <x:v>169863</x:v>
      </x:c>
      <x:c r="F36" s="29" t="str">
        <x:v>HSB Brf Siljan i Stockholm, lgh 178</x:v>
      </x:c>
      <x:c r="G36" s="26" t="n">
        <x:v>400000</x:v>
      </x:c>
      <x:c r="H36" s="27" t="n">
        <x:v>0.023399999999999997</x:v>
      </x:c>
      <x:c r="I36" s="24" t="n">
        <x:v>44470</x:v>
      </x:c>
      <x:c r="J36" s="28" t="n">
        <x:v>30</x:v>
      </x:c>
      <x:c r="K36" s="26" t="n">
        <x:v>780</x:v>
      </x:c>
      <x:c r="L36" s="26" t="n">
        <x:v>0</x:v>
      </x:c>
      <x:c r="M36" s="26" t="n">
        <x:v>0</x:v>
      </x:c>
      <x:c r="N36" s="26" t="n">
        <x:f>SUM(K36:M36)</x:f>
        <x:v>780</x:v>
      </x:c>
      <x:c r="O36" s="25" t="str">
        <x:v>2021-11-01_02-279136.pdf</x:v>
      </x:c>
      <x:c r="P36" s="28" t="n">
        <x:v>1</x:v>
      </x:c>
      <x:c r="Q36" s="29" t="str">
        <x:v>Ingen amorteringsrad redovisas på avin.</x:v>
      </x:c>
    </x:row>
    <x:row r="37">
      <x:c r="A37" s="24" t="n">
        <x:v>44531</x:v>
      </x:c>
      <x:c r="B37" s="25" t="str">
        <x:v>Bolån</x:v>
      </x:c>
      <x:c r="C37" s="25" t="str">
        <x:v>Stadshypotek AB</x:v>
      </x:c>
      <x:c r="D37" s="25" t="str">
        <x:v>02-279136</x:v>
      </x:c>
      <x:c r="E37" s="25" t="str">
        <x:v>169863</x:v>
      </x:c>
      <x:c r="F37" s="29" t="str">
        <x:v>HSB Brf Siljan i Stockholm, lgh 178</x:v>
      </x:c>
      <x:c r="G37" s="26" t="n">
        <x:v>400000</x:v>
      </x:c>
      <x:c r="H37" s="27" t="n">
        <x:v>0.023399999999999997</x:v>
      </x:c>
      <x:c r="I37" s="24" t="n">
        <x:v>44501</x:v>
      </x:c>
      <x:c r="J37" s="28" t="n">
        <x:v>30</x:v>
      </x:c>
      <x:c r="K37" s="26" t="n">
        <x:v>780</x:v>
      </x:c>
      <x:c r="L37" s="26" t="n">
        <x:v>0</x:v>
      </x:c>
      <x:c r="M37" s="26" t="n">
        <x:v>0</x:v>
      </x:c>
      <x:c r="N37" s="26" t="n">
        <x:f>SUM(K37:M37)</x:f>
        <x:v>780</x:v>
      </x:c>
      <x:c r="O37" s="25" t="str">
        <x:v>2021-12-01_02-279136.pdf</x:v>
      </x:c>
      <x:c r="P37" s="28" t="n">
        <x:v>1</x:v>
      </x:c>
      <x:c r="Q37" s="29" t="str">
        <x:v>Ingen amorteringsrad redovisas på avin.</x:v>
      </x:c>
    </x:row>
    <x:row r="38">
      <x:c r="A38" s="24" t="n">
        <x:v>44562</x:v>
      </x:c>
      <x:c r="B38" s="25" t="str">
        <x:v>Bolån</x:v>
      </x:c>
      <x:c r="C38" s="25" t="str">
        <x:v>Stadshypotek AB</x:v>
      </x:c>
      <x:c r="D38" s="25" t="str">
        <x:v>02-279136</x:v>
      </x:c>
      <x:c r="E38" s="25" t="str">
        <x:v>169863</x:v>
      </x:c>
      <x:c r="F38" s="29" t="str">
        <x:v>HSB Brf Siljan i Stockholm, lgh 178</x:v>
      </x:c>
      <x:c r="G38" s="26" t="n">
        <x:v>400000</x:v>
      </x:c>
      <x:c r="H38" s="27" t="n">
        <x:v>0.023399999999999997</x:v>
      </x:c>
      <x:c r="I38" s="24" t="n">
        <x:v>44531</x:v>
      </x:c>
      <x:c r="J38" s="28" t="n">
        <x:v>30</x:v>
      </x:c>
      <x:c r="K38" s="26" t="n">
        <x:v>780</x:v>
      </x:c>
      <x:c r="L38" s="26" t="n">
        <x:v>0</x:v>
      </x:c>
      <x:c r="M38" s="26" t="n">
        <x:v>0</x:v>
      </x:c>
      <x:c r="N38" s="26" t="n">
        <x:f>SUM(K38:M38)</x:f>
        <x:v>780</x:v>
      </x:c>
      <x:c r="O38" s="25" t="str">
        <x:v>2022-01-01_02-279136.pdf</x:v>
      </x:c>
      <x:c r="P38" s="28" t="n">
        <x:v>1</x:v>
      </x:c>
      <x:c r="Q38" s="29" t="str">
        <x:v>Ingen amorteringsrad redovisas på avin.</x:v>
      </x:c>
    </x:row>
    <x:row r="39">
      <x:c r="A39" s="24" t="n">
        <x:v>44593</x:v>
      </x:c>
      <x:c r="B39" s="25" t="str">
        <x:v>Bolån</x:v>
      </x:c>
      <x:c r="C39" s="25" t="str">
        <x:v>Stadshypotek AB</x:v>
      </x:c>
      <x:c r="D39" s="25" t="str">
        <x:v>02-279136</x:v>
      </x:c>
      <x:c r="E39" s="25" t="str">
        <x:v>169863</x:v>
      </x:c>
      <x:c r="F39" s="29" t="str">
        <x:v>HSB Brf Siljan i Stockholm, lgh 178</x:v>
      </x:c>
      <x:c r="G39" s="26" t="n">
        <x:v>400000</x:v>
      </x:c>
      <x:c r="H39" s="27" t="n">
        <x:v>0.023399999999999997</x:v>
      </x:c>
      <x:c r="I39" s="24" t="n">
        <x:v>44562</x:v>
      </x:c>
      <x:c r="J39" s="28" t="n">
        <x:v>30</x:v>
      </x:c>
      <x:c r="K39" s="26" t="n">
        <x:v>780</x:v>
      </x:c>
      <x:c r="L39" s="26" t="n">
        <x:v>0</x:v>
      </x:c>
      <x:c r="M39" s="26" t="n">
        <x:v>0</x:v>
      </x:c>
      <x:c r="N39" s="26" t="n">
        <x:f>SUM(K39:M39)</x:f>
        <x:v>780</x:v>
      </x:c>
      <x:c r="O39" s="25" t="str">
        <x:v>2022-02-01_02-279136.pdf</x:v>
      </x:c>
      <x:c r="P39" s="28" t="n">
        <x:v>1</x:v>
      </x:c>
      <x:c r="Q39" s="29" t="str">
        <x:v>Ingen amorteringsrad redovisas på avin.</x:v>
      </x:c>
    </x:row>
    <x:row r="40">
      <x:c r="A40" s="24" t="n">
        <x:v>44621</x:v>
      </x:c>
      <x:c r="B40" s="25" t="str">
        <x:v>Bolån</x:v>
      </x:c>
      <x:c r="C40" s="25" t="str">
        <x:v>Stadshypotek AB</x:v>
      </x:c>
      <x:c r="D40" s="25" t="str">
        <x:v>02-279136</x:v>
      </x:c>
      <x:c r="E40" s="25" t="str">
        <x:v>169863</x:v>
      </x:c>
      <x:c r="F40" s="29" t="str">
        <x:v>HSB Brf Siljan i Stockholm, lgh 178</x:v>
      </x:c>
      <x:c r="G40" s="26" t="n">
        <x:v>400000</x:v>
      </x:c>
      <x:c r="H40" s="27" t="n">
        <x:v>0.023399999999999997</x:v>
      </x:c>
      <x:c r="I40" s="24" t="n">
        <x:v>44593</x:v>
      </x:c>
      <x:c r="J40" s="28" t="n">
        <x:v>30</x:v>
      </x:c>
      <x:c r="K40" s="26" t="n">
        <x:v>780</x:v>
      </x:c>
      <x:c r="L40" s="26" t="n">
        <x:v>0</x:v>
      </x:c>
      <x:c r="M40" s="26" t="n">
        <x:v>0</x:v>
      </x:c>
      <x:c r="N40" s="26" t="n">
        <x:f>SUM(K40:M40)</x:f>
        <x:v>780</x:v>
      </x:c>
      <x:c r="O40" s="25" t="str">
        <x:v>2022-03-01_02-279136.pdf</x:v>
      </x:c>
      <x:c r="P40" s="28" t="n">
        <x:v>1</x:v>
      </x:c>
      <x:c r="Q40" s="29" t="str">
        <x:v>Ingen amorteringsrad redovisas på avin.</x:v>
      </x:c>
    </x:row>
    <x:row r="41">
      <x:c r="A41" s="24" t="n">
        <x:v>44652</x:v>
      </x:c>
      <x:c r="B41" s="25" t="str">
        <x:v>Bolån</x:v>
      </x:c>
      <x:c r="C41" s="25" t="str">
        <x:v>Stadshypotek AB</x:v>
      </x:c>
      <x:c r="D41" s="25" t="str">
        <x:v>02-279136</x:v>
      </x:c>
      <x:c r="E41" s="25" t="str">
        <x:v>169863</x:v>
      </x:c>
      <x:c r="F41" s="29" t="str">
        <x:v>HSB Brf Siljan i Stockholm, lgh 178</x:v>
      </x:c>
      <x:c r="G41" s="26" t="n">
        <x:v>400000</x:v>
      </x:c>
      <x:c r="H41" s="27" t="n">
        <x:v>0.023399999999999997</x:v>
      </x:c>
      <x:c r="I41" s="24" t="n">
        <x:v>44621</x:v>
      </x:c>
      <x:c r="J41" s="28" t="n">
        <x:v>30</x:v>
      </x:c>
      <x:c r="K41" s="26" t="n">
        <x:v>780</x:v>
      </x:c>
      <x:c r="L41" s="26" t="n">
        <x:v>0</x:v>
      </x:c>
      <x:c r="M41" s="26" t="n">
        <x:v>0</x:v>
      </x:c>
      <x:c r="N41" s="26" t="n">
        <x:f>SUM(K41:M41)</x:f>
        <x:v>780</x:v>
      </x:c>
      <x:c r="O41" s="25" t="str">
        <x:v>2022-04-01_02-279136.pdf</x:v>
      </x:c>
      <x:c r="P41" s="28" t="n">
        <x:v>1</x:v>
      </x:c>
      <x:c r="Q41" s="29" t="str">
        <x:v>Ingen amorteringsrad redovisas på avin.</x:v>
      </x:c>
    </x:row>
    <x:row r="42">
      <x:c r="A42" s="24" t="n">
        <x:v>44682</x:v>
      </x:c>
      <x:c r="B42" s="25" t="str">
        <x:v>Bolån</x:v>
      </x:c>
      <x:c r="C42" s="25" t="str">
        <x:v>Stadshypotek AB</x:v>
      </x:c>
      <x:c r="D42" s="25" t="str">
        <x:v>02-279136</x:v>
      </x:c>
      <x:c r="E42" s="25" t="str">
        <x:v>169863</x:v>
      </x:c>
      <x:c r="F42" s="29" t="str">
        <x:v>HSB Brf Siljan i Stockholm, lgh 178</x:v>
      </x:c>
      <x:c r="G42" s="26" t="n">
        <x:v>400000</x:v>
      </x:c>
      <x:c r="H42" s="27" t="n">
        <x:v>0.0239</x:v>
      </x:c>
      <x:c r="I42" s="24" t="n">
        <x:v>44652</x:v>
      </x:c>
      <x:c r="J42" s="28" t="n">
        <x:v>30</x:v>
      </x:c>
      <x:c r="K42" s="26" t="n">
        <x:v>797</x:v>
      </x:c>
      <x:c r="L42" s="26" t="n">
        <x:v>0</x:v>
      </x:c>
      <x:c r="M42" s="26" t="n">
        <x:v>0</x:v>
      </x:c>
      <x:c r="N42" s="26" t="n">
        <x:f>SUM(K42:M42)</x:f>
        <x:v>797</x:v>
      </x:c>
      <x:c r="O42" s="25" t="str">
        <x:v>2022-05-01_02-279136.pdf</x:v>
      </x:c>
      <x:c r="P42" s="28" t="n">
        <x:v>1</x:v>
      </x:c>
      <x:c r="Q42" s="29" t="str">
        <x:v>Ingen amorteringsrad redovisas på avin.</x:v>
      </x:c>
    </x:row>
    <x:row r="43">
      <x:c r="A43" s="24" t="n">
        <x:v>44713</x:v>
      </x:c>
      <x:c r="B43" s="25" t="str">
        <x:v>Bolån</x:v>
      </x:c>
      <x:c r="C43" s="25" t="str">
        <x:v>Stadshypotek AB</x:v>
      </x:c>
      <x:c r="D43" s="25" t="str">
        <x:v>02-279136</x:v>
      </x:c>
      <x:c r="E43" s="25" t="str">
        <x:v>169863</x:v>
      </x:c>
      <x:c r="F43" s="29" t="str">
        <x:v>HSB Brf Siljan i Stockholm, lgh 178</x:v>
      </x:c>
      <x:c r="G43" s="26" t="n">
        <x:v>400000</x:v>
      </x:c>
      <x:c r="H43" s="27" t="n">
        <x:v>0.0239</x:v>
      </x:c>
      <x:c r="I43" s="24" t="n">
        <x:v>44682</x:v>
      </x:c>
      <x:c r="J43" s="28" t="n">
        <x:v>30</x:v>
      </x:c>
      <x:c r="K43" s="26" t="n">
        <x:v>797</x:v>
      </x:c>
      <x:c r="L43" s="26" t="n">
        <x:v>0</x:v>
      </x:c>
      <x:c r="M43" s="26" t="n">
        <x:v>0</x:v>
      </x:c>
      <x:c r="N43" s="26" t="n">
        <x:f>SUM(K43:M43)</x:f>
        <x:v>797</x:v>
      </x:c>
      <x:c r="O43" s="25" t="str">
        <x:v>2022-06-01_02-279136.pdf</x:v>
      </x:c>
      <x:c r="P43" s="28" t="n">
        <x:v>1</x:v>
      </x:c>
      <x:c r="Q43" s="29" t="str">
        <x:v>Ingen amorteringsrad redovisas på avin.</x:v>
      </x:c>
    </x:row>
    <x:row r="44">
      <x:c r="A44" s="24" t="n">
        <x:v>44743</x:v>
      </x:c>
      <x:c r="B44" s="25" t="str">
        <x:v>Bolån</x:v>
      </x:c>
      <x:c r="C44" s="25" t="str">
        <x:v>Stadshypotek AB</x:v>
      </x:c>
      <x:c r="D44" s="25" t="str">
        <x:v>02-279136</x:v>
      </x:c>
      <x:c r="E44" s="25" t="str">
        <x:v>169863</x:v>
      </x:c>
      <x:c r="F44" s="29" t="str">
        <x:v>HSB Brf Siljan i Stockholm, lgh 178</x:v>
      </x:c>
      <x:c r="G44" s="26" t="n">
        <x:v>400000</x:v>
      </x:c>
      <x:c r="H44" s="27" t="n">
        <x:v>0.0239</x:v>
      </x:c>
      <x:c r="I44" s="24" t="n">
        <x:v>44713</x:v>
      </x:c>
      <x:c r="J44" s="28" t="n">
        <x:v>30</x:v>
      </x:c>
      <x:c r="K44" s="26" t="n">
        <x:v>797</x:v>
      </x:c>
      <x:c r="L44" s="26" t="n">
        <x:v>0</x:v>
      </x:c>
      <x:c r="M44" s="26" t="n">
        <x:v>0</x:v>
      </x:c>
      <x:c r="N44" s="26" t="n">
        <x:f>SUM(K44:M44)</x:f>
        <x:v>797</x:v>
      </x:c>
      <x:c r="O44" s="25" t="str">
        <x:v>2022-07-01_02-279136.pdf</x:v>
      </x:c>
      <x:c r="P44" s="28" t="n">
        <x:v>1</x:v>
      </x:c>
      <x:c r="Q44" s="29" t="str">
        <x:v>Ingen amorteringsrad redovisas på avin.</x:v>
      </x:c>
    </x:row>
    <x:row r="45">
      <x:c r="A45" s="24" t="n">
        <x:v>44774</x:v>
      </x:c>
      <x:c r="B45" s="25" t="str">
        <x:v>Bolån</x:v>
      </x:c>
      <x:c r="C45" s="25" t="str">
        <x:v>Stadshypotek AB</x:v>
      </x:c>
      <x:c r="D45" s="25" t="str">
        <x:v>02-279136</x:v>
      </x:c>
      <x:c r="E45" s="25" t="str">
        <x:v>169863</x:v>
      </x:c>
      <x:c r="F45" s="29" t="str">
        <x:v>HSB Brf Siljan i Stockholm, lgh 178</x:v>
      </x:c>
      <x:c r="G45" s="26" t="n">
        <x:v>400000</x:v>
      </x:c>
      <x:c r="H45" s="27" t="n">
        <x:v>0.0319</x:v>
      </x:c>
      <x:c r="I45" s="24" t="n">
        <x:v>44743</x:v>
      </x:c>
      <x:c r="J45" s="28" t="n">
        <x:v>30</x:v>
      </x:c>
      <x:c r="K45" s="26" t="n">
        <x:v>1063</x:v>
      </x:c>
      <x:c r="L45" s="26" t="n">
        <x:v>0</x:v>
      </x:c>
      <x:c r="M45" s="26" t="n">
        <x:v>0</x:v>
      </x:c>
      <x:c r="N45" s="26" t="n">
        <x:f>SUM(K45:M45)</x:f>
        <x:v>1063</x:v>
      </x:c>
      <x:c r="O45" s="25" t="str">
        <x:v>2022-08-01_02-279136.pdf</x:v>
      </x:c>
      <x:c r="P45" s="28" t="n">
        <x:v>1</x:v>
      </x:c>
      <x:c r="Q45" s="29" t="str">
        <x:v>Ingen amorteringsrad redovisas på avin.</x:v>
      </x:c>
    </x:row>
    <x:row r="46">
      <x:c r="A46" s="24" t="n">
        <x:v>44805</x:v>
      </x:c>
      <x:c r="B46" s="25" t="str">
        <x:v>Bolån</x:v>
      </x:c>
      <x:c r="C46" s="25" t="str">
        <x:v>Stadshypotek AB</x:v>
      </x:c>
      <x:c r="D46" s="25" t="str">
        <x:v>02-279136</x:v>
      </x:c>
      <x:c r="E46" s="25" t="str">
        <x:v>169863</x:v>
      </x:c>
      <x:c r="F46" s="29" t="str">
        <x:v>HSB Brf Siljan i Stockholm, lgh 178</x:v>
      </x:c>
      <x:c r="G46" s="26" t="n">
        <x:v>400000</x:v>
      </x:c>
      <x:c r="H46" s="27" t="n">
        <x:v>0.0319</x:v>
      </x:c>
      <x:c r="I46" s="24" t="n">
        <x:v>44774</x:v>
      </x:c>
      <x:c r="J46" s="28" t="n">
        <x:v>30</x:v>
      </x:c>
      <x:c r="K46" s="26" t="n">
        <x:v>1063</x:v>
      </x:c>
      <x:c r="L46" s="26" t="n">
        <x:v>0</x:v>
      </x:c>
      <x:c r="M46" s="26" t="n">
        <x:v>0</x:v>
      </x:c>
      <x:c r="N46" s="26" t="n">
        <x:f>SUM(K46:M46)</x:f>
        <x:v>1063</x:v>
      </x:c>
      <x:c r="O46" s="25" t="str">
        <x:v>2022-09-01_02-279136.pdf</x:v>
      </x:c>
      <x:c r="P46" s="28" t="n">
        <x:v>1</x:v>
      </x:c>
      <x:c r="Q46" s="29" t="str">
        <x:v>Ingen amorteringsrad redovisas på avin.</x:v>
      </x:c>
    </x:row>
    <x:row r="47">
      <x:c r="A47" s="24" t="n">
        <x:v>44835</x:v>
      </x:c>
      <x:c r="B47" s="25" t="str">
        <x:v>Bolån</x:v>
      </x:c>
      <x:c r="C47" s="25" t="str">
        <x:v>Stadshypotek AB</x:v>
      </x:c>
      <x:c r="D47" s="25" t="str">
        <x:v>02-279136</x:v>
      </x:c>
      <x:c r="E47" s="25" t="str">
        <x:v>169863</x:v>
      </x:c>
      <x:c r="F47" s="29" t="str">
        <x:v>HSB Brf Siljan i Stockholm, lgh 178</x:v>
      </x:c>
      <x:c r="G47" s="26" t="n">
        <x:v>400000</x:v>
      </x:c>
      <x:c r="H47" s="27" t="n">
        <x:v>0.0319</x:v>
      </x:c>
      <x:c r="I47" s="24" t="n">
        <x:v>44805</x:v>
      </x:c>
      <x:c r="J47" s="28" t="n">
        <x:v>30</x:v>
      </x:c>
      <x:c r="K47" s="26" t="n">
        <x:v>1063</x:v>
      </x:c>
      <x:c r="L47" s="26" t="n">
        <x:v>0</x:v>
      </x:c>
      <x:c r="M47" s="26" t="n">
        <x:v>0</x:v>
      </x:c>
      <x:c r="N47" s="26" t="n">
        <x:f>SUM(K47:M47)</x:f>
        <x:v>1063</x:v>
      </x:c>
      <x:c r="O47" s="25" t="str">
        <x:v>2022-10-01_02-279136.pdf</x:v>
      </x:c>
      <x:c r="P47" s="28" t="n">
        <x:v>1</x:v>
      </x:c>
      <x:c r="Q47" s="29" t="str">
        <x:v>Ingen amorteringsrad redovisas på avin.</x:v>
      </x:c>
    </x:row>
    <x:row r="48">
      <x:c r="A48" s="24" t="n">
        <x:v>44866</x:v>
      </x:c>
      <x:c r="B48" s="25" t="str">
        <x:v>Bolån</x:v>
      </x:c>
      <x:c r="C48" s="25" t="str">
        <x:v>Stadshypotek AB</x:v>
      </x:c>
      <x:c r="D48" s="25" t="str">
        <x:v>02-279136</x:v>
      </x:c>
      <x:c r="E48" s="25" t="str">
        <x:v>169863</x:v>
      </x:c>
      <x:c r="F48" s="29" t="str">
        <x:v>HSB Brf Siljan i Stockholm, lgh 178</x:v>
      </x:c>
      <x:c r="G48" s="26" t="n">
        <x:v>400000</x:v>
      </x:c>
      <x:c r="H48" s="27" t="n">
        <x:v>0.0429</x:v>
      </x:c>
      <x:c r="I48" s="24" t="n">
        <x:v>44835</x:v>
      </x:c>
      <x:c r="J48" s="28" t="n">
        <x:v>30</x:v>
      </x:c>
      <x:c r="K48" s="26" t="n">
        <x:v>1430</x:v>
      </x:c>
      <x:c r="L48" s="26" t="n">
        <x:v>0</x:v>
      </x:c>
      <x:c r="M48" s="26" t="n">
        <x:v>0</x:v>
      </x:c>
      <x:c r="N48" s="26" t="n">
        <x:f>SUM(K48:M48)</x:f>
        <x:v>1430</x:v>
      </x:c>
      <x:c r="O48" s="25" t="str">
        <x:v>2022-11-01_02-279136.pdf</x:v>
      </x:c>
      <x:c r="P48" s="28" t="n">
        <x:v>1</x:v>
      </x:c>
      <x:c r="Q48" s="29" t="str">
        <x:v>Ingen amorteringsrad redovisas på avin.</x:v>
      </x:c>
    </x:row>
    <x:row r="49">
      <x:c r="A49" s="24" t="n">
        <x:v>44896</x:v>
      </x:c>
      <x:c r="B49" s="25" t="str">
        <x:v>Bolån</x:v>
      </x:c>
      <x:c r="C49" s="25" t="str">
        <x:v>Stadshypotek AB</x:v>
      </x:c>
      <x:c r="D49" s="25" t="str">
        <x:v>02-279136</x:v>
      </x:c>
      <x:c r="E49" s="25" t="str">
        <x:v>169863</x:v>
      </x:c>
      <x:c r="F49" s="29" t="str">
        <x:v>HSB Brf Siljan i Stockholm, lgh 178</x:v>
      </x:c>
      <x:c r="G49" s="26" t="n">
        <x:v>400000</x:v>
      </x:c>
      <x:c r="H49" s="27" t="n">
        <x:v>0.0429</x:v>
      </x:c>
      <x:c r="I49" s="24" t="n">
        <x:v>44866</x:v>
      </x:c>
      <x:c r="J49" s="28" t="n">
        <x:v>30</x:v>
      </x:c>
      <x:c r="K49" s="26" t="n">
        <x:v>1430</x:v>
      </x:c>
      <x:c r="L49" s="26" t="n">
        <x:v>0</x:v>
      </x:c>
      <x:c r="M49" s="26" t="n">
        <x:v>0</x:v>
      </x:c>
      <x:c r="N49" s="26" t="n">
        <x:f>SUM(K49:M49)</x:f>
        <x:v>1430</x:v>
      </x:c>
      <x:c r="O49" s="25" t="str">
        <x:v>2022-12-01_02-279136.pdf</x:v>
      </x:c>
      <x:c r="P49" s="28" t="n">
        <x:v>1</x:v>
      </x:c>
      <x:c r="Q49" s="29" t="str">
        <x:v>Ingen amorteringsrad redovisas på avin.</x:v>
      </x:c>
    </x:row>
    <x:row r="50">
      <x:c r="A50" s="24" t="n">
        <x:v>44927</x:v>
      </x:c>
      <x:c r="B50" s="25" t="str">
        <x:v>Bolån</x:v>
      </x:c>
      <x:c r="C50" s="25" t="str">
        <x:v>Stadshypotek AB</x:v>
      </x:c>
      <x:c r="D50" s="25" t="str">
        <x:v>02-279136</x:v>
      </x:c>
      <x:c r="E50" s="25" t="str">
        <x:v>169863</x:v>
      </x:c>
      <x:c r="F50" s="29" t="str">
        <x:v>HSB Brf Siljan i Stockholm, lgh 178</x:v>
      </x:c>
      <x:c r="G50" s="26" t="n">
        <x:v>400000</x:v>
      </x:c>
      <x:c r="H50" s="27" t="n">
        <x:v>0.0429</x:v>
      </x:c>
      <x:c r="I50" s="24" t="n">
        <x:v>44896</x:v>
      </x:c>
      <x:c r="J50" s="28" t="n">
        <x:v>30</x:v>
      </x:c>
      <x:c r="K50" s="26" t="n">
        <x:v>1430</x:v>
      </x:c>
      <x:c r="L50" s="26" t="n">
        <x:v>0</x:v>
      </x:c>
      <x:c r="M50" s="26" t="n">
        <x:v>0</x:v>
      </x:c>
      <x:c r="N50" s="26" t="n">
        <x:f>SUM(K50:M50)</x:f>
        <x:v>1430</x:v>
      </x:c>
      <x:c r="O50" s="25" t="str">
        <x:v>2023-01-01_02-279136.pdf</x:v>
      </x:c>
      <x:c r="P50" s="28" t="n">
        <x:v>1</x:v>
      </x:c>
      <x:c r="Q50" s="29" t="str">
        <x:v>Ingen amorteringsrad redovisas på avin.</x:v>
      </x:c>
    </x:row>
    <x:row r="51">
      <x:c r="A51" s="24" t="n">
        <x:v>44958</x:v>
      </x:c>
      <x:c r="B51" s="25" t="str">
        <x:v>Bolån</x:v>
      </x:c>
      <x:c r="C51" s="25" t="str">
        <x:v>Stadshypotek AB</x:v>
      </x:c>
      <x:c r="D51" s="25" t="str">
        <x:v>02-279136</x:v>
      </x:c>
      <x:c r="E51" s="25" t="str">
        <x:v>169863</x:v>
      </x:c>
      <x:c r="F51" s="29" t="str">
        <x:v>HSB Brf Siljan i Stockholm, lgh 178</x:v>
      </x:c>
      <x:c r="G51" s="26" t="n">
        <x:v>400000</x:v>
      </x:c>
      <x:c r="H51" s="27" t="n">
        <x:v>0.0429</x:v>
      </x:c>
      <x:c r="I51" s="24" t="n">
        <x:v>44927</x:v>
      </x:c>
      <x:c r="J51" s="28" t="n">
        <x:v>30</x:v>
      </x:c>
      <x:c r="K51" s="26" t="n">
        <x:v>1430</x:v>
      </x:c>
      <x:c r="L51" s="26" t="n">
        <x:v>0</x:v>
      </x:c>
      <x:c r="M51" s="26" t="n">
        <x:v>0</x:v>
      </x:c>
      <x:c r="N51" s="26" t="n">
        <x:f>SUM(K51:M51)</x:f>
        <x:v>1430</x:v>
      </x:c>
      <x:c r="O51" s="25" t="str">
        <x:v>2023-02-01_02-279136.pdf</x:v>
      </x:c>
      <x:c r="P51" s="28" t="n">
        <x:v>1</x:v>
      </x:c>
      <x:c r="Q51" s="29" t="str">
        <x:v>Ingen amorteringsrad redovisas på avin.</x:v>
      </x:c>
    </x:row>
    <x:row r="52">
      <x:c r="A52" s="24" t="n">
        <x:v>44986</x:v>
      </x:c>
      <x:c r="B52" s="25" t="str">
        <x:v>Bolån</x:v>
      </x:c>
      <x:c r="C52" s="25" t="str">
        <x:v>Stadshypotek AB</x:v>
      </x:c>
      <x:c r="D52" s="25" t="str">
        <x:v>02-279136</x:v>
      </x:c>
      <x:c r="E52" s="25" t="str">
        <x:v>169863</x:v>
      </x:c>
      <x:c r="F52" s="29" t="str">
        <x:v>HSB Brf Siljan i Stockholm, lgh 178</x:v>
      </x:c>
      <x:c r="G52" s="26" t="n">
        <x:v>400000</x:v>
      </x:c>
      <x:c r="H52" s="27" t="n">
        <x:v>0.0429</x:v>
      </x:c>
      <x:c r="I52" s="24" t="n">
        <x:v>44958</x:v>
      </x:c>
      <x:c r="J52" s="28" t="n">
        <x:v>30</x:v>
      </x:c>
      <x:c r="K52" s="26" t="n">
        <x:v>1430</x:v>
      </x:c>
      <x:c r="L52" s="26" t="n">
        <x:v>0</x:v>
      </x:c>
      <x:c r="M52" s="26" t="n">
        <x:v>0</x:v>
      </x:c>
      <x:c r="N52" s="26" t="n">
        <x:f>SUM(K52:M52)</x:f>
        <x:v>1430</x:v>
      </x:c>
      <x:c r="O52" s="25" t="str">
        <x:v>2023-03-01_02-279136.pdf</x:v>
      </x:c>
      <x:c r="P52" s="28" t="n">
        <x:v>1</x:v>
      </x:c>
      <x:c r="Q52" s="29" t="str">
        <x:v>Ingen amorteringsrad redovisas på avin.</x:v>
      </x:c>
    </x:row>
    <x:row r="53">
      <x:c r="A53" s="24" t="n">
        <x:v>45017</x:v>
      </x:c>
      <x:c r="B53" s="25" t="str">
        <x:v>Bolån</x:v>
      </x:c>
      <x:c r="C53" s="25" t="str">
        <x:v>Stadshypotek AB</x:v>
      </x:c>
      <x:c r="D53" s="25" t="str">
        <x:v>02-279136</x:v>
      </x:c>
      <x:c r="E53" s="25" t="str">
        <x:v>169863</x:v>
      </x:c>
      <x:c r="F53" s="29" t="str">
        <x:v>HSB Brf Siljan i Stockholm, lgh 178</x:v>
      </x:c>
      <x:c r="G53" s="26" t="n">
        <x:v>400000</x:v>
      </x:c>
      <x:c r="H53" s="27" t="n">
        <x:v>0.0429</x:v>
      </x:c>
      <x:c r="I53" s="24" t="n">
        <x:v>44986</x:v>
      </x:c>
      <x:c r="J53" s="28" t="n">
        <x:v>30</x:v>
      </x:c>
      <x:c r="K53" s="26" t="n">
        <x:v>1430</x:v>
      </x:c>
      <x:c r="L53" s="26" t="n">
        <x:v>0</x:v>
      </x:c>
      <x:c r="M53" s="26" t="n">
        <x:v>0</x:v>
      </x:c>
      <x:c r="N53" s="26" t="n">
        <x:f>SUM(K53:M53)</x:f>
        <x:v>1430</x:v>
      </x:c>
      <x:c r="O53" s="25" t="str">
        <x:v>2023-04-01_02-279136.pdf</x:v>
      </x:c>
      <x:c r="P53" s="28" t="n">
        <x:v>1</x:v>
      </x:c>
      <x:c r="Q53" s="29" t="str">
        <x:v>Ingen amorteringsrad redovisas på avin.</x:v>
      </x:c>
    </x:row>
    <x:row r="54">
      <x:c r="A54" s="24" t="n">
        <x:v>45047</x:v>
      </x:c>
      <x:c r="B54" s="25" t="str">
        <x:v>Bolån</x:v>
      </x:c>
      <x:c r="C54" s="25" t="str">
        <x:v>Stadshypotek AB</x:v>
      </x:c>
      <x:c r="D54" s="25" t="str">
        <x:v>02-279136</x:v>
      </x:c>
      <x:c r="E54" s="25" t="str">
        <x:v>169863</x:v>
      </x:c>
      <x:c r="F54" s="29" t="str">
        <x:v>HSB Brf Siljan i Stockholm, lgh 178</x:v>
      </x:c>
      <x:c r="G54" s="26" t="n">
        <x:v>400000</x:v>
      </x:c>
      <x:c r="H54" s="27" t="n">
        <x:v>0.049400000000000006</x:v>
      </x:c>
      <x:c r="I54" s="24" t="n">
        <x:v>45017</x:v>
      </x:c>
      <x:c r="J54" s="28" t="n">
        <x:v>30</x:v>
      </x:c>
      <x:c r="K54" s="26" t="n">
        <x:v>1647</x:v>
      </x:c>
      <x:c r="L54" s="26" t="n">
        <x:v>0</x:v>
      </x:c>
      <x:c r="M54" s="26" t="n">
        <x:v>0</x:v>
      </x:c>
      <x:c r="N54" s="26" t="n">
        <x:f>SUM(K54:M54)</x:f>
        <x:v>1647</x:v>
      </x:c>
      <x:c r="O54" s="25" t="str">
        <x:v>2023-05-01_02-279136.pdf</x:v>
      </x:c>
      <x:c r="P54" s="28" t="n">
        <x:v>1</x:v>
      </x:c>
      <x:c r="Q54" s="29" t="str">
        <x:v>Ingen amorteringsrad redovisas på avin.</x:v>
      </x:c>
    </x:row>
    <x:row r="55">
      <x:c r="A55" s="24" t="n">
        <x:v>45078</x:v>
      </x:c>
      <x:c r="B55" s="25" t="str">
        <x:v>Bolån</x:v>
      </x:c>
      <x:c r="C55" s="25" t="str">
        <x:v>Stadshypotek AB</x:v>
      </x:c>
      <x:c r="D55" s="25" t="str">
        <x:v>02-279136</x:v>
      </x:c>
      <x:c r="E55" s="25" t="str">
        <x:v>169863</x:v>
      </x:c>
      <x:c r="F55" s="29" t="str">
        <x:v>HSB Brf Siljan i Stockholm, lgh 178</x:v>
      </x:c>
      <x:c r="G55" s="26" t="n">
        <x:v>400000</x:v>
      </x:c>
      <x:c r="H55" s="27" t="n">
        <x:v>0.049400000000000006</x:v>
      </x:c>
      <x:c r="I55" s="24" t="n">
        <x:v>45047</x:v>
      </x:c>
      <x:c r="J55" s="28" t="n">
        <x:v>30</x:v>
      </x:c>
      <x:c r="K55" s="26" t="n">
        <x:v>1647</x:v>
      </x:c>
      <x:c r="L55" s="26" t="n">
        <x:v>0</x:v>
      </x:c>
      <x:c r="M55" s="26" t="n">
        <x:v>0</x:v>
      </x:c>
      <x:c r="N55" s="26" t="n">
        <x:f>SUM(K55:M55)</x:f>
        <x:v>1647</x:v>
      </x:c>
      <x:c r="O55" s="25" t="str">
        <x:v>2023-06-01_02-279136.pdf</x:v>
      </x:c>
      <x:c r="P55" s="28" t="n">
        <x:v>1</x:v>
      </x:c>
      <x:c r="Q55" s="29" t="str">
        <x:v>Ingen amorteringsrad redovisas på avin.</x:v>
      </x:c>
    </x:row>
    <x:row r="56">
      <x:c r="A56" s="24" t="n">
        <x:v>45108</x:v>
      </x:c>
      <x:c r="B56" s="25" t="str">
        <x:v>Bolån</x:v>
      </x:c>
      <x:c r="C56" s="25" t="str">
        <x:v>Stadshypotek AB</x:v>
      </x:c>
      <x:c r="D56" s="25" t="str">
        <x:v>02-279136</x:v>
      </x:c>
      <x:c r="E56" s="25" t="str">
        <x:v>169863</x:v>
      </x:c>
      <x:c r="F56" s="29" t="str">
        <x:v>HSB Brf Siljan i Stockholm, lgh 178</x:v>
      </x:c>
      <x:c r="G56" s="26" t="n">
        <x:v>400000</x:v>
      </x:c>
      <x:c r="H56" s="27" t="n">
        <x:v>0.049400000000000006</x:v>
      </x:c>
      <x:c r="I56" s="24" t="n">
        <x:v>45078</x:v>
      </x:c>
      <x:c r="J56" s="28" t="n">
        <x:v>30</x:v>
      </x:c>
      <x:c r="K56" s="26" t="n">
        <x:v>1647</x:v>
      </x:c>
      <x:c r="L56" s="26" t="n">
        <x:v>0</x:v>
      </x:c>
      <x:c r="M56" s="26" t="n">
        <x:v>0</x:v>
      </x:c>
      <x:c r="N56" s="26" t="n">
        <x:f>SUM(K56:M56)</x:f>
        <x:v>1647</x:v>
      </x:c>
      <x:c r="O56" s="25" t="str">
        <x:v>2023-07-01_02-279136.pdf</x:v>
      </x:c>
      <x:c r="P56" s="28" t="n">
        <x:v>1</x:v>
      </x:c>
      <x:c r="Q56" s="29" t="str">
        <x:v>Ingen amorteringsrad redovisas på avin.</x:v>
      </x:c>
    </x:row>
    <x:row r="57">
      <x:c r="A57" s="24" t="n">
        <x:v>45139</x:v>
      </x:c>
      <x:c r="B57" s="25" t="str">
        <x:v>Bolån</x:v>
      </x:c>
      <x:c r="C57" s="25" t="str">
        <x:v>Stadshypotek AB</x:v>
      </x:c>
      <x:c r="D57" s="25" t="str">
        <x:v>02-279136</x:v>
      </x:c>
      <x:c r="E57" s="25" t="str">
        <x:v>169863</x:v>
      </x:c>
      <x:c r="F57" s="29" t="str">
        <x:v>HSB Brf Siljan i Stockholm, lgh 178</x:v>
      </x:c>
      <x:c r="G57" s="26" t="n">
        <x:v>400000</x:v>
      </x:c>
      <x:c r="H57" s="27" t="n">
        <x:v>0.054400000000000004</x:v>
      </x:c>
      <x:c r="I57" s="24" t="n">
        <x:v>45108</x:v>
      </x:c>
      <x:c r="J57" s="28" t="n">
        <x:v>30</x:v>
      </x:c>
      <x:c r="K57" s="26" t="n">
        <x:v>1813</x:v>
      </x:c>
      <x:c r="L57" s="26" t="n">
        <x:v>0</x:v>
      </x:c>
      <x:c r="M57" s="26" t="n">
        <x:v>0</x:v>
      </x:c>
      <x:c r="N57" s="26" t="n">
        <x:f>SUM(K57:M57)</x:f>
        <x:v>1813</x:v>
      </x:c>
      <x:c r="O57" s="25" t="str">
        <x:v>2023-08-01_02-279136.pdf</x:v>
      </x:c>
      <x:c r="P57" s="28" t="n">
        <x:v>1</x:v>
      </x:c>
      <x:c r="Q57" s="29" t="str">
        <x:v>Ingen amorteringsrad redovisas på avin.</x:v>
      </x:c>
    </x:row>
    <x:row r="58">
      <x:c r="A58" s="24" t="n">
        <x:v>45170</x:v>
      </x:c>
      <x:c r="B58" s="25" t="str">
        <x:v>Bolån</x:v>
      </x:c>
      <x:c r="C58" s="25" t="str">
        <x:v>Stadshypotek AB</x:v>
      </x:c>
      <x:c r="D58" s="25" t="str">
        <x:v>02-279136</x:v>
      </x:c>
      <x:c r="E58" s="25" t="str">
        <x:v>169863</x:v>
      </x:c>
      <x:c r="F58" s="29" t="str">
        <x:v>HSB Brf Siljan i Stockholm, lgh 178</x:v>
      </x:c>
      <x:c r="G58" s="26" t="n">
        <x:v>400000</x:v>
      </x:c>
      <x:c r="H58" s="27" t="n">
        <x:v>0.054400000000000004</x:v>
      </x:c>
      <x:c r="I58" s="24" t="n">
        <x:v>45139</x:v>
      </x:c>
      <x:c r="J58" s="28" t="n">
        <x:v>30</x:v>
      </x:c>
      <x:c r="K58" s="26" t="n">
        <x:v>1813</x:v>
      </x:c>
      <x:c r="L58" s="26" t="n">
        <x:v>0</x:v>
      </x:c>
      <x:c r="M58" s="26" t="n">
        <x:v>0</x:v>
      </x:c>
      <x:c r="N58" s="26" t="n">
        <x:f>SUM(K58:M58)</x:f>
        <x:v>1813</x:v>
      </x:c>
      <x:c r="O58" s="25" t="str">
        <x:v>2023-09-01_02-279136.pdf</x:v>
      </x:c>
      <x:c r="P58" s="28" t="n">
        <x:v>1</x:v>
      </x:c>
      <x:c r="Q58" s="29" t="str">
        <x:v>Ingen amorteringsrad redovisas på avin.</x:v>
      </x:c>
    </x:row>
    <x:row r="59">
      <x:c r="A59" s="24" t="n">
        <x:v>45200</x:v>
      </x:c>
      <x:c r="B59" s="25" t="str">
        <x:v>Bolån</x:v>
      </x:c>
      <x:c r="C59" s="25" t="str">
        <x:v>Stadshypotek AB</x:v>
      </x:c>
      <x:c r="D59" s="25" t="str">
        <x:v>02-279136</x:v>
      </x:c>
      <x:c r="E59" s="25" t="str">
        <x:v>169863</x:v>
      </x:c>
      <x:c r="F59" s="29" t="str">
        <x:v>HSB Brf Siljan i Stockholm, lgh 178</x:v>
      </x:c>
      <x:c r="G59" s="26" t="n">
        <x:v>400000</x:v>
      </x:c>
      <x:c r="H59" s="27" t="n">
        <x:v>0.054400000000000004</x:v>
      </x:c>
      <x:c r="I59" s="24" t="n">
        <x:v>45170</x:v>
      </x:c>
      <x:c r="J59" s="28" t="n">
        <x:v>30</x:v>
      </x:c>
      <x:c r="K59" s="26" t="n">
        <x:v>1813</x:v>
      </x:c>
      <x:c r="L59" s="26" t="n">
        <x:v>0</x:v>
      </x:c>
      <x:c r="M59" s="26" t="n">
        <x:v>0</x:v>
      </x:c>
      <x:c r="N59" s="26" t="n">
        <x:f>SUM(K59:M59)</x:f>
        <x:v>1813</x:v>
      </x:c>
      <x:c r="O59" s="25" t="str">
        <x:v>2023-10-01_02-279136.pdf</x:v>
      </x:c>
      <x:c r="P59" s="28" t="n">
        <x:v>1</x:v>
      </x:c>
      <x:c r="Q59" s="29" t="str">
        <x:v>Ingen amorteringsrad redovisas på avin.</x:v>
      </x:c>
    </x:row>
    <x:row r="60">
      <x:c r="A60" s="24" t="n">
        <x:v>45231</x:v>
      </x:c>
      <x:c r="B60" s="25" t="str">
        <x:v>Bolån</x:v>
      </x:c>
      <x:c r="C60" s="25" t="str">
        <x:v>Stadshypotek AB</x:v>
      </x:c>
      <x:c r="D60" s="25" t="str">
        <x:v>02-279136</x:v>
      </x:c>
      <x:c r="E60" s="25" t="str">
        <x:v>169863</x:v>
      </x:c>
      <x:c r="F60" s="29" t="str">
        <x:v>HSB Brf Siljan i Stockholm, lgh 178</x:v>
      </x:c>
      <x:c r="G60" s="26" t="n">
        <x:v>400000</x:v>
      </x:c>
      <x:c r="H60" s="27" t="n">
        <x:v>0.056900000000000006</x:v>
      </x:c>
      <x:c r="I60" s="24" t="n">
        <x:v>45200</x:v>
      </x:c>
      <x:c r="J60" s="28" t="n">
        <x:v>30</x:v>
      </x:c>
      <x:c r="K60" s="26" t="n">
        <x:v>1897</x:v>
      </x:c>
      <x:c r="L60" s="26" t="n">
        <x:v>0</x:v>
      </x:c>
      <x:c r="M60" s="26" t="n">
        <x:v>0</x:v>
      </x:c>
      <x:c r="N60" s="26" t="n">
        <x:f>SUM(K60:M60)</x:f>
        <x:v>1897</x:v>
      </x:c>
      <x:c r="O60" s="25" t="str">
        <x:v>2023-11-01_02-279136.pdf</x:v>
      </x:c>
      <x:c r="P60" s="28" t="n">
        <x:v>1</x:v>
      </x:c>
      <x:c r="Q60" s="29" t="str">
        <x:v>Ingen amorteringsrad redovisas på avin.</x:v>
      </x:c>
    </x:row>
    <x:row r="61">
      <x:c r="A61" s="24" t="n">
        <x:v>45261</x:v>
      </x:c>
      <x:c r="B61" s="25" t="str">
        <x:v>Bolån</x:v>
      </x:c>
      <x:c r="C61" s="25" t="str">
        <x:v>Stadshypotek AB</x:v>
      </x:c>
      <x:c r="D61" s="25" t="str">
        <x:v>02-279136</x:v>
      </x:c>
      <x:c r="E61" s="25" t="str">
        <x:v>169863</x:v>
      </x:c>
      <x:c r="F61" s="29" t="str">
        <x:v>HSB Brf Siljan i Stockholm, lgh 178</x:v>
      </x:c>
      <x:c r="G61" s="26" t="n">
        <x:v>400000</x:v>
      </x:c>
      <x:c r="H61" s="27" t="n">
        <x:v>0.056900000000000006</x:v>
      </x:c>
      <x:c r="I61" s="24" t="n">
        <x:v>45231</x:v>
      </x:c>
      <x:c r="J61" s="28" t="n">
        <x:v>30</x:v>
      </x:c>
      <x:c r="K61" s="26" t="n">
        <x:v>1897</x:v>
      </x:c>
      <x:c r="L61" s="26" t="n">
        <x:v>0</x:v>
      </x:c>
      <x:c r="M61" s="26" t="n">
        <x:v>0</x:v>
      </x:c>
      <x:c r="N61" s="26" t="n">
        <x:f>SUM(K61:M61)</x:f>
        <x:v>1897</x:v>
      </x:c>
      <x:c r="O61" s="25" t="str">
        <x:v>2023-12-01_02-279136.pdf</x:v>
      </x:c>
      <x:c r="P61" s="28" t="n">
        <x:v>1</x:v>
      </x:c>
      <x:c r="Q61" s="29" t="str">
        <x:v>Ingen amorteringsrad redovisas på avin.</x:v>
      </x:c>
    </x:row>
    <x:row r="62">
      <x:c r="A62" s="24" t="n">
        <x:v>45292</x:v>
      </x:c>
      <x:c r="B62" s="25" t="str">
        <x:v>Bolån</x:v>
      </x:c>
      <x:c r="C62" s="25" t="str">
        <x:v>Stadshypotek AB</x:v>
      </x:c>
      <x:c r="D62" s="25" t="str">
        <x:v>02-279136</x:v>
      </x:c>
      <x:c r="E62" s="25" t="str">
        <x:v>169863</x:v>
      </x:c>
      <x:c r="F62" s="29" t="str">
        <x:v>HSB Brf Siljan i Stockholm, lgh 178</x:v>
      </x:c>
      <x:c r="G62" s="26" t="n">
        <x:v>400000</x:v>
      </x:c>
      <x:c r="H62" s="27" t="n">
        <x:v>0.056900000000000006</x:v>
      </x:c>
      <x:c r="I62" s="24" t="n">
        <x:v>45261</x:v>
      </x:c>
      <x:c r="J62" s="28" t="n">
        <x:v>30</x:v>
      </x:c>
      <x:c r="K62" s="26" t="n">
        <x:v>1897</x:v>
      </x:c>
      <x:c r="L62" s="26" t="n">
        <x:v>0</x:v>
      </x:c>
      <x:c r="M62" s="26" t="n">
        <x:v>0</x:v>
      </x:c>
      <x:c r="N62" s="26" t="n">
        <x:f>SUM(K62:M62)</x:f>
        <x:v>1897</x:v>
      </x:c>
      <x:c r="O62" s="25" t="str">
        <x:v>2024-01-01_02-279136.pdf</x:v>
      </x:c>
      <x:c r="P62" s="28" t="n">
        <x:v>1</x:v>
      </x:c>
      <x:c r="Q62" s="29" t="str">
        <x:v>Ingen amorteringsrad redovisas på avin.</x:v>
      </x:c>
    </x:row>
    <x:row r="63">
      <x:c r="A63" s="24" t="n">
        <x:v>45323</x:v>
      </x:c>
      <x:c r="B63" s="25" t="str">
        <x:v>Bolån</x:v>
      </x:c>
      <x:c r="C63" s="25" t="str">
        <x:v>Stadshypotek AB</x:v>
      </x:c>
      <x:c r="D63" s="25" t="str">
        <x:v>02-279136</x:v>
      </x:c>
      <x:c r="E63" s="25" t="str">
        <x:v>169863</x:v>
      </x:c>
      <x:c r="F63" s="29" t="str">
        <x:v>HSB Brf Siljan i Stockholm, lgh 178</x:v>
      </x:c>
      <x:c r="G63" s="26" t="n">
        <x:v>400000</x:v>
      </x:c>
      <x:c r="H63" s="27" t="n">
        <x:v>0.0594</x:v>
      </x:c>
      <x:c r="I63" s="24" t="n">
        <x:v>45292</x:v>
      </x:c>
      <x:c r="J63" s="28" t="n">
        <x:v>30</x:v>
      </x:c>
      <x:c r="K63" s="26" t="n">
        <x:v>1980</x:v>
      </x:c>
      <x:c r="L63" s="26" t="n">
        <x:v>0</x:v>
      </x:c>
      <x:c r="M63" s="26" t="n">
        <x:v>0</x:v>
      </x:c>
      <x:c r="N63" s="26" t="n">
        <x:f>SUM(K63:M63)</x:f>
        <x:v>1980</x:v>
      </x:c>
      <x:c r="O63" s="25" t="str">
        <x:v>2024-02-01_02-279136.pdf</x:v>
      </x:c>
      <x:c r="P63" s="28" t="n">
        <x:v>1</x:v>
      </x:c>
      <x:c r="Q63" s="29" t="str">
        <x:v>Ingen amorteringsrad redovisas på avin.</x:v>
      </x:c>
    </x:row>
    <x:row r="64">
      <x:c r="A64" s="24" t="n">
        <x:v>45352</x:v>
      </x:c>
      <x:c r="B64" s="25" t="str">
        <x:v>Bolån</x:v>
      </x:c>
      <x:c r="C64" s="25" t="str">
        <x:v>Stadshypotek AB</x:v>
      </x:c>
      <x:c r="D64" s="25" t="str">
        <x:v>02-279136</x:v>
      </x:c>
      <x:c r="E64" s="25" t="str">
        <x:v>169863</x:v>
      </x:c>
      <x:c r="F64" s="29" t="str">
        <x:v>HSB Brf Siljan i Stockholm, lgh 178</x:v>
      </x:c>
      <x:c r="G64" s="26" t="n">
        <x:v>400000</x:v>
      </x:c>
      <x:c r="H64" s="27" t="n">
        <x:v>0.0594</x:v>
      </x:c>
      <x:c r="I64" s="24" t="n">
        <x:v>45323</x:v>
      </x:c>
      <x:c r="J64" s="28" t="n">
        <x:v>30</x:v>
      </x:c>
      <x:c r="K64" s="26" t="n">
        <x:v>1980</x:v>
      </x:c>
      <x:c r="L64" s="26" t="n">
        <x:v>0</x:v>
      </x:c>
      <x:c r="M64" s="26" t="n">
        <x:v>0</x:v>
      </x:c>
      <x:c r="N64" s="26" t="n">
        <x:f>SUM(K64:M64)</x:f>
        <x:v>1980</x:v>
      </x:c>
      <x:c r="O64" s="25" t="str">
        <x:v>2024-03-01_02-279136.pdf</x:v>
      </x:c>
      <x:c r="P64" s="28" t="n">
        <x:v>1</x:v>
      </x:c>
      <x:c r="Q64" s="29" t="str">
        <x:v>Ingen amorteringsrad redovisas på avin.</x:v>
      </x:c>
    </x:row>
    <x:row r="65">
      <x:c r="A65" s="24" t="n">
        <x:v>45383</x:v>
      </x:c>
      <x:c r="B65" s="25" t="str">
        <x:v>Bolån</x:v>
      </x:c>
      <x:c r="C65" s="25" t="str">
        <x:v>Stadshypotek AB</x:v>
      </x:c>
      <x:c r="D65" s="25" t="str">
        <x:v>02-279136</x:v>
      </x:c>
      <x:c r="E65" s="25" t="str">
        <x:v>169863</x:v>
      </x:c>
      <x:c r="F65" s="29" t="str">
        <x:v>HSB Brf Siljan i Stockholm, lgh 178</x:v>
      </x:c>
      <x:c r="G65" s="26" t="n">
        <x:v>400000</x:v>
      </x:c>
      <x:c r="H65" s="27" t="n">
        <x:v>0.0594</x:v>
      </x:c>
      <x:c r="I65" s="24" t="n">
        <x:v>45352</x:v>
      </x:c>
      <x:c r="J65" s="28" t="n">
        <x:v>30</x:v>
      </x:c>
      <x:c r="K65" s="26" t="n">
        <x:v>1980</x:v>
      </x:c>
      <x:c r="L65" s="26" t="n">
        <x:v>0</x:v>
      </x:c>
      <x:c r="M65" s="26" t="n">
        <x:v>0</x:v>
      </x:c>
      <x:c r="N65" s="26" t="n">
        <x:f>SUM(K65:M65)</x:f>
        <x:v>1980</x:v>
      </x:c>
      <x:c r="O65" s="25" t="str">
        <x:v>2024-04-01_02-279136.pdf</x:v>
      </x:c>
      <x:c r="P65" s="28" t="n">
        <x:v>1</x:v>
      </x:c>
      <x:c r="Q65" s="29" t="str">
        <x:v>Ingen amorteringsrad redovisas på avin.</x:v>
      </x:c>
    </x:row>
    <x:row r="66">
      <x:c r="A66" s="24" t="n">
        <x:v>45413</x:v>
      </x:c>
      <x:c r="B66" s="25" t="str">
        <x:v>Bolån</x:v>
      </x:c>
      <x:c r="C66" s="25" t="str">
        <x:v>Stadshypotek AB</x:v>
      </x:c>
      <x:c r="D66" s="25" t="str">
        <x:v>02-279136</x:v>
      </x:c>
      <x:c r="E66" s="25" t="str">
        <x:v>169863</x:v>
      </x:c>
      <x:c r="F66" s="29" t="str">
        <x:v>HSB Brf Siljan i Stockholm, lgh 178</x:v>
      </x:c>
      <x:c r="G66" s="26" t="n">
        <x:v>400000</x:v>
      </x:c>
      <x:c r="H66" s="27" t="n">
        <x:v>0.0594</x:v>
      </x:c>
      <x:c r="I66" s="24" t="n">
        <x:v>45383</x:v>
      </x:c>
      <x:c r="J66" s="28" t="n">
        <x:v>30</x:v>
      </x:c>
      <x:c r="K66" s="26" t="n">
        <x:v>1980</x:v>
      </x:c>
      <x:c r="L66" s="26" t="n">
        <x:v>0</x:v>
      </x:c>
      <x:c r="M66" s="26" t="n">
        <x:v>0</x:v>
      </x:c>
      <x:c r="N66" s="26" t="n">
        <x:f>SUM(K66:M66)</x:f>
        <x:v>1980</x:v>
      </x:c>
      <x:c r="O66" s="25" t="str">
        <x:v>2024-05-01_02-279136.pdf</x:v>
      </x:c>
      <x:c r="P66" s="28" t="n">
        <x:v>1</x:v>
      </x:c>
      <x:c r="Q66" s="29" t="str">
        <x:v>Ingen amorteringsrad redovisas på avin.</x:v>
      </x:c>
    </x:row>
    <x:row r="67">
      <x:c r="A67" s="24" t="n">
        <x:v>45444</x:v>
      </x:c>
      <x:c r="B67" s="25" t="str">
        <x:v>Bolån</x:v>
      </x:c>
      <x:c r="C67" s="25" t="str">
        <x:v>Stadshypotek AB</x:v>
      </x:c>
      <x:c r="D67" s="25" t="str">
        <x:v>02-279136</x:v>
      </x:c>
      <x:c r="E67" s="25" t="str">
        <x:v>169863</x:v>
      </x:c>
      <x:c r="F67" s="29" t="str">
        <x:v>HSB Brf Siljan i Stockholm, lgh 178</x:v>
      </x:c>
      <x:c r="G67" s="26" t="n">
        <x:v>400000</x:v>
      </x:c>
      <x:c r="H67" s="27" t="n">
        <x:v>0.0594</x:v>
      </x:c>
      <x:c r="I67" s="24" t="n">
        <x:v>45413</x:v>
      </x:c>
      <x:c r="J67" s="28" t="n">
        <x:v>30</x:v>
      </x:c>
      <x:c r="K67" s="26" t="n">
        <x:v>1980</x:v>
      </x:c>
      <x:c r="L67" s="26" t="n">
        <x:v>0</x:v>
      </x:c>
      <x:c r="M67" s="26" t="n">
        <x:v>0</x:v>
      </x:c>
      <x:c r="N67" s="26" t="n">
        <x:f>SUM(K67:M67)</x:f>
        <x:v>1980</x:v>
      </x:c>
      <x:c r="O67" s="25" t="str">
        <x:v>2024-06-01_02-279136.pdf</x:v>
      </x:c>
      <x:c r="P67" s="28" t="n">
        <x:v>1</x:v>
      </x:c>
      <x:c r="Q67" s="29" t="str">
        <x:v>Ingen amorteringsrad redovisas på avin.</x:v>
      </x:c>
    </x:row>
    <x:row r="68">
      <x:c r="A68" s="24" t="n">
        <x:v>45474</x:v>
      </x:c>
      <x:c r="B68" s="25" t="str">
        <x:v>Bolån</x:v>
      </x:c>
      <x:c r="C68" s="25" t="str">
        <x:v>Stadshypotek AB</x:v>
      </x:c>
      <x:c r="D68" s="25" t="str">
        <x:v>02-279136</x:v>
      </x:c>
      <x:c r="E68" s="25" t="str">
        <x:v>169863</x:v>
      </x:c>
      <x:c r="F68" s="29" t="str">
        <x:v>HSB Brf Siljan i Stockholm, lgh 178</x:v>
      </x:c>
      <x:c r="G68" s="26" t="n">
        <x:v>400000</x:v>
      </x:c>
      <x:c r="H68" s="27" t="n">
        <x:v>0.0594</x:v>
      </x:c>
      <x:c r="I68" s="24" t="n">
        <x:v>45444</x:v>
      </x:c>
      <x:c r="J68" s="28" t="n">
        <x:v>30</x:v>
      </x:c>
      <x:c r="K68" s="26" t="n">
        <x:v>1980</x:v>
      </x:c>
      <x:c r="L68" s="26" t="n">
        <x:v>0</x:v>
      </x:c>
      <x:c r="M68" s="26" t="n">
        <x:v>0</x:v>
      </x:c>
      <x:c r="N68" s="26" t="n">
        <x:f>SUM(K68:M68)</x:f>
        <x:v>1980</x:v>
      </x:c>
      <x:c r="O68" s="25" t="str">
        <x:v>2024-07-01_02-279136.pdf</x:v>
      </x:c>
      <x:c r="P68" s="28" t="n">
        <x:v>1</x:v>
      </x:c>
      <x:c r="Q68" s="29" t="str">
        <x:v>Ingen amorteringsrad redovisas på avin.</x:v>
      </x:c>
    </x:row>
    <x:row r="69">
      <x:c r="A69" s="24" t="n">
        <x:v>45505</x:v>
      </x:c>
      <x:c r="B69" s="25" t="str">
        <x:v>Bolån</x:v>
      </x:c>
      <x:c r="C69" s="25" t="str">
        <x:v>Stadshypotek AB</x:v>
      </x:c>
      <x:c r="D69" s="25" t="str">
        <x:v>02-279136</x:v>
      </x:c>
      <x:c r="E69" s="25" t="str">
        <x:v>169863</x:v>
      </x:c>
      <x:c r="F69" s="29" t="str">
        <x:v>HSB Brf Siljan i Stockholm, lgh 178</x:v>
      </x:c>
      <x:c r="G69" s="26" t="n">
        <x:v>400000</x:v>
      </x:c>
      <x:c r="H69" s="27" t="n">
        <x:v>0.056900000000000006</x:v>
      </x:c>
      <x:c r="I69" s="24" t="n">
        <x:v>45474</x:v>
      </x:c>
      <x:c r="J69" s="28" t="n">
        <x:v>30</x:v>
      </x:c>
      <x:c r="K69" s="26" t="n">
        <x:v>1897</x:v>
      </x:c>
      <x:c r="L69" s="26" t="n">
        <x:v>0</x:v>
      </x:c>
      <x:c r="M69" s="26" t="n">
        <x:v>0</x:v>
      </x:c>
      <x:c r="N69" s="26" t="n">
        <x:f>SUM(K69:M69)</x:f>
        <x:v>1897</x:v>
      </x:c>
      <x:c r="O69" s="25" t="str">
        <x:v>2024-08-01_02-279136.pdf</x:v>
      </x:c>
      <x:c r="P69" s="28" t="n">
        <x:v>1</x:v>
      </x:c>
      <x:c r="Q69" s="29" t="str">
        <x:v>Ingen amorteringsrad redovisas på avin.</x:v>
      </x:c>
    </x:row>
    <x:row r="70">
      <x:c r="A70" s="24" t="n">
        <x:v>45536</x:v>
      </x:c>
      <x:c r="B70" s="25" t="str">
        <x:v>Bolån</x:v>
      </x:c>
      <x:c r="C70" s="25" t="str">
        <x:v>Stadshypotek AB</x:v>
      </x:c>
      <x:c r="D70" s="25" t="str">
        <x:v>02-279136</x:v>
      </x:c>
      <x:c r="E70" s="25" t="str">
        <x:v>169863</x:v>
      </x:c>
      <x:c r="F70" s="29" t="str">
        <x:v>HSB Brf Siljan i Stockholm, lgh 178</x:v>
      </x:c>
      <x:c r="G70" s="26" t="n">
        <x:v>400000</x:v>
      </x:c>
      <x:c r="H70" s="27" t="n">
        <x:v>0.056900000000000006</x:v>
      </x:c>
      <x:c r="I70" s="24" t="n">
        <x:v>45505</x:v>
      </x:c>
      <x:c r="J70" s="28" t="n">
        <x:v>30</x:v>
      </x:c>
      <x:c r="K70" s="26" t="n">
        <x:v>1897</x:v>
      </x:c>
      <x:c r="L70" s="26" t="n">
        <x:v>0</x:v>
      </x:c>
      <x:c r="M70" s="26" t="n">
        <x:v>0</x:v>
      </x:c>
      <x:c r="N70" s="26" t="n">
        <x:f>SUM(K70:M70)</x:f>
        <x:v>1897</x:v>
      </x:c>
      <x:c r="O70" s="25" t="str">
        <x:v>2024-09-01_02-279136.pdf</x:v>
      </x:c>
      <x:c r="P70" s="28" t="n">
        <x:v>1</x:v>
      </x:c>
      <x:c r="Q70" s="29" t="str">
        <x:v>Ingen amorteringsrad redovisas på avin.</x:v>
      </x:c>
    </x:row>
    <x:row r="71">
      <x:c r="A71" s="24" t="n">
        <x:v>45566</x:v>
      </x:c>
      <x:c r="B71" s="25" t="str">
        <x:v>Bolån</x:v>
      </x:c>
      <x:c r="C71" s="25" t="str">
        <x:v>Stadshypotek AB</x:v>
      </x:c>
      <x:c r="D71" s="25" t="str">
        <x:v>02-279136</x:v>
      </x:c>
      <x:c r="E71" s="25" t="str">
        <x:v>169863</x:v>
      </x:c>
      <x:c r="F71" s="29" t="str">
        <x:v>HSB Brf Siljan i Stockholm, lgh 178</x:v>
      </x:c>
      <x:c r="G71" s="26" t="n">
        <x:v>400000</x:v>
      </x:c>
      <x:c r="H71" s="27" t="n">
        <x:v>0.056900000000000006</x:v>
      </x:c>
      <x:c r="I71" s="24" t="n">
        <x:v>45536</x:v>
      </x:c>
      <x:c r="J71" s="28" t="n">
        <x:v>30</x:v>
      </x:c>
      <x:c r="K71" s="26" t="n">
        <x:v>1897</x:v>
      </x:c>
      <x:c r="L71" s="26" t="n">
        <x:v>0</x:v>
      </x:c>
      <x:c r="M71" s="26" t="n">
        <x:v>0</x:v>
      </x:c>
      <x:c r="N71" s="26" t="n">
        <x:f>SUM(K71:M71)</x:f>
        <x:v>1897</x:v>
      </x:c>
      <x:c r="O71" s="25" t="str">
        <x:v>2024-10-01_02-279136.pdf</x:v>
      </x:c>
      <x:c r="P71" s="28" t="n">
        <x:v>1</x:v>
      </x:c>
      <x:c r="Q71" s="29" t="str">
        <x:v>Ingen amorteringsrad redovisas på avin.</x:v>
      </x:c>
    </x:row>
    <x:row r="72">
      <x:c r="A72" s="24" t="n">
        <x:v>45597</x:v>
      </x:c>
      <x:c r="B72" s="25" t="str">
        <x:v>Bolån</x:v>
      </x:c>
      <x:c r="C72" s="25" t="str">
        <x:v>Stadshypotek AB</x:v>
      </x:c>
      <x:c r="D72" s="25" t="str">
        <x:v>02-279136</x:v>
      </x:c>
      <x:c r="E72" s="25" t="str">
        <x:v>169863</x:v>
      </x:c>
      <x:c r="F72" s="29" t="str">
        <x:v>HSB Brf Siljan i Stockholm, lgh 178</x:v>
      </x:c>
      <x:c r="G72" s="26" t="n">
        <x:v>400000</x:v>
      </x:c>
      <x:c r="H72" s="27" t="n">
        <x:v>0.0529</x:v>
      </x:c>
      <x:c r="I72" s="24" t="n">
        <x:v>45566</x:v>
      </x:c>
      <x:c r="J72" s="28" t="n">
        <x:v>30</x:v>
      </x:c>
      <x:c r="K72" s="26" t="n">
        <x:v>1763</x:v>
      </x:c>
      <x:c r="L72" s="26" t="n">
        <x:v>0</x:v>
      </x:c>
      <x:c r="M72" s="26" t="n">
        <x:v>0</x:v>
      </x:c>
      <x:c r="N72" s="26" t="n">
        <x:f>SUM(K72:M72)</x:f>
        <x:v>1763</x:v>
      </x:c>
      <x:c r="O72" s="25" t="str">
        <x:v>2024-11-01_02-279136.pdf</x:v>
      </x:c>
      <x:c r="P72" s="28" t="n">
        <x:v>1</x:v>
      </x:c>
      <x:c r="Q72" s="29" t="str">
        <x:v>Ingen amorteringsrad redovisas på avin.</x:v>
      </x:c>
    </x:row>
    <x:row r="73">
      <x:c r="A73" s="24" t="n">
        <x:v>45627</x:v>
      </x:c>
      <x:c r="B73" s="25" t="str">
        <x:v>Bolån</x:v>
      </x:c>
      <x:c r="C73" s="25" t="str">
        <x:v>Stadshypotek AB</x:v>
      </x:c>
      <x:c r="D73" s="25" t="str">
        <x:v>02-279136</x:v>
      </x:c>
      <x:c r="E73" s="25" t="str">
        <x:v>169863</x:v>
      </x:c>
      <x:c r="F73" s="29" t="str">
        <x:v>HSB Brf Siljan i Stockholm, lgh 178</x:v>
      </x:c>
      <x:c r="G73" s="26" t="n">
        <x:v>400000</x:v>
      </x:c>
      <x:c r="H73" s="27" t="n">
        <x:v>0.0529</x:v>
      </x:c>
      <x:c r="I73" s="24" t="n">
        <x:v>45597</x:v>
      </x:c>
      <x:c r="J73" s="28" t="n">
        <x:v>30</x:v>
      </x:c>
      <x:c r="K73" s="26" t="n">
        <x:v>1763</x:v>
      </x:c>
      <x:c r="L73" s="26" t="n">
        <x:v>0</x:v>
      </x:c>
      <x:c r="M73" s="26" t="n">
        <x:v>0</x:v>
      </x:c>
      <x:c r="N73" s="26" t="n">
        <x:f>SUM(K73:M73)</x:f>
        <x:v>1763</x:v>
      </x:c>
      <x:c r="O73" s="25" t="str">
        <x:v>2024-12-01_02-279136.pdf</x:v>
      </x:c>
      <x:c r="P73" s="28" t="n">
        <x:v>1</x:v>
      </x:c>
      <x:c r="Q73" s="29" t="str">
        <x:v>Ingen amorteringsrad redovisas på avin.</x:v>
      </x:c>
    </x:row>
    <x:row r="74">
      <x:c r="A74" s="24" t="n">
        <x:v>45658</x:v>
      </x:c>
      <x:c r="B74" s="25" t="str">
        <x:v>Bolån</x:v>
      </x:c>
      <x:c r="C74" s="25" t="str">
        <x:v>Stadshypotek AB</x:v>
      </x:c>
      <x:c r="D74" s="25" t="str">
        <x:v>02-279136</x:v>
      </x:c>
      <x:c r="E74" s="25" t="str">
        <x:v>169863</x:v>
      </x:c>
      <x:c r="F74" s="29" t="str">
        <x:v>HSB Brf Siljan i Stockholm, lgh 178</x:v>
      </x:c>
      <x:c r="G74" s="26" t="n">
        <x:v>400000</x:v>
      </x:c>
      <x:c r="H74" s="27" t="n">
        <x:v>0.0529</x:v>
      </x:c>
      <x:c r="I74" s="24" t="n">
        <x:v>45627</x:v>
      </x:c>
      <x:c r="J74" s="28" t="n">
        <x:v>30</x:v>
      </x:c>
      <x:c r="K74" s="26" t="n">
        <x:v>1763</x:v>
      </x:c>
      <x:c r="L74" s="26" t="n">
        <x:v>0</x:v>
      </x:c>
      <x:c r="M74" s="26" t="n">
        <x:v>0</x:v>
      </x:c>
      <x:c r="N74" s="26" t="n">
        <x:f>SUM(K74:M74)</x:f>
        <x:v>1763</x:v>
      </x:c>
      <x:c r="O74" s="25" t="str">
        <x:v>2025-01-01_02-279136.pdf</x:v>
      </x:c>
      <x:c r="P74" s="28" t="n">
        <x:v>1</x:v>
      </x:c>
      <x:c r="Q74" s="29" t="str">
        <x:v>Ingen amorteringsrad redovisas på avin.</x:v>
      </x:c>
    </x:row>
    <x:row r="75">
      <x:c r="A75" s="24" t="n">
        <x:v>45689</x:v>
      </x:c>
      <x:c r="B75" s="25" t="str">
        <x:v>Bolån</x:v>
      </x:c>
      <x:c r="C75" s="25" t="str">
        <x:v>Stadshypotek AB</x:v>
      </x:c>
      <x:c r="D75" s="25" t="str">
        <x:v>02-279136</x:v>
      </x:c>
      <x:c r="E75" s="25" t="str">
        <x:v>169863</x:v>
      </x:c>
      <x:c r="F75" s="29" t="str">
        <x:v>HSB Brf Siljan i Stockholm, lgh 178</x:v>
      </x:c>
      <x:c r="G75" s="26" t="n">
        <x:v>400000</x:v>
      </x:c>
      <x:c r="H75" s="27" t="n">
        <x:v>0.0454</x:v>
      </x:c>
      <x:c r="I75" s="24" t="n">
        <x:v>45658</x:v>
      </x:c>
      <x:c r="J75" s="28" t="n">
        <x:v>30</x:v>
      </x:c>
      <x:c r="K75" s="26" t="n">
        <x:v>1513</x:v>
      </x:c>
      <x:c r="L75" s="26" t="n">
        <x:v>0</x:v>
      </x:c>
      <x:c r="M75" s="26" t="n">
        <x:v>0</x:v>
      </x:c>
      <x:c r="N75" s="26" t="n">
        <x:f>SUM(K75:M75)</x:f>
        <x:v>1513</x:v>
      </x:c>
      <x:c r="O75" s="25" t="str">
        <x:v>2025-02-01_02-279136.pdf</x:v>
      </x:c>
      <x:c r="P75" s="28" t="n">
        <x:v>1</x:v>
      </x:c>
      <x:c r="Q75" s="29" t="str">
        <x:v>Ingen amorteringsrad redovisas på avin.</x:v>
      </x:c>
    </x:row>
    <x:row r="76">
      <x:c r="A76" s="24" t="n">
        <x:v>45717</x:v>
      </x:c>
      <x:c r="B76" s="25" t="str">
        <x:v>Bolån</x:v>
      </x:c>
      <x:c r="C76" s="25" t="str">
        <x:v>Stadshypotek AB</x:v>
      </x:c>
      <x:c r="D76" s="25" t="str">
        <x:v>02-279136</x:v>
      </x:c>
      <x:c r="E76" s="25" t="str">
        <x:v>169863</x:v>
      </x:c>
      <x:c r="F76" s="29" t="str">
        <x:v>HSB Brf Siljan i Stockholm, lgh 178</x:v>
      </x:c>
      <x:c r="G76" s="26" t="n">
        <x:v>400000</x:v>
      </x:c>
      <x:c r="H76" s="27" t="n">
        <x:v>0.0454</x:v>
      </x:c>
      <x:c r="I76" s="24" t="n">
        <x:v>45689</x:v>
      </x:c>
      <x:c r="J76" s="28" t="n">
        <x:v>30</x:v>
      </x:c>
      <x:c r="K76" s="26" t="n">
        <x:v>1513</x:v>
      </x:c>
      <x:c r="L76" s="26" t="n">
        <x:v>0</x:v>
      </x:c>
      <x:c r="M76" s="26" t="n">
        <x:v>0</x:v>
      </x:c>
      <x:c r="N76" s="26" t="n">
        <x:f>SUM(K76:M76)</x:f>
        <x:v>1513</x:v>
      </x:c>
      <x:c r="O76" s="25" t="str">
        <x:v>2025-03-01_02-279136.pdf</x:v>
      </x:c>
      <x:c r="P76" s="28" t="n">
        <x:v>1</x:v>
      </x:c>
      <x:c r="Q76" s="29" t="str">
        <x:v>Ingen amorteringsrad redovisas på avin.</x:v>
      </x:c>
    </x:row>
    <x:row r="77">
      <x:c r="A77" s="24" t="n">
        <x:v>42491</x:v>
      </x:c>
      <x:c r="B77" s="25" t="str">
        <x:v>Bolån</x:v>
      </x:c>
      <x:c r="C77" s="25" t="str">
        <x:v>Stadshypotek AB</x:v>
      </x:c>
      <x:c r="D77" s="25" t="str">
        <x:v>02-279136</x:v>
      </x:c>
      <x:c r="E77" s="25" t="str">
        <x:v>20543</x:v>
      </x:c>
      <x:c r="F77" s="29" t="str">
        <x:v>HSB Brf Siljan i Stockholm, lgh 178</x:v>
      </x:c>
      <x:c r="G77" s="26" t="n">
        <x:v>160000</x:v>
      </x:c>
      <x:c r="H77" s="27" t="n">
        <x:v>0.0202</x:v>
      </x:c>
      <x:c r="I77" s="24" t="n">
        <x:v>42461</x:v>
      </x:c>
      <x:c r="J77" s="28" t="n">
        <x:v>30</x:v>
      </x:c>
      <x:c r="K77" s="26" t="n">
        <x:v>269</x:v>
      </x:c>
      <x:c r="L77" s="26" t="n">
        <x:v>0</x:v>
      </x:c>
      <x:c r="M77" s="26" t="n">
        <x:v>0</x:v>
      </x:c>
      <x:c r="N77" s="26" t="n">
        <x:f>SUM(K77:M77)</x:f>
        <x:v>269</x:v>
      </x:c>
      <x:c r="O77" s="25" t="str">
        <x:v>2016-05-01_02-279136.pdf</x:v>
      </x:c>
      <x:c r="P77" s="28" t="n">
        <x:v>1</x:v>
      </x:c>
      <x:c r="Q77" s="29" t="str">
        <x:v>Ingen amorteringsrad redovisas på avin.</x:v>
      </x:c>
    </x:row>
    <x:row r="78">
      <x:c r="A78" s="24" t="n">
        <x:v>42522</x:v>
      </x:c>
      <x:c r="B78" s="25" t="str">
        <x:v>Bolån</x:v>
      </x:c>
      <x:c r="C78" s="25" t="str">
        <x:v>Stadshypotek AB</x:v>
      </x:c>
      <x:c r="D78" s="25" t="str">
        <x:v>02-279136</x:v>
      </x:c>
      <x:c r="E78" s="25" t="str">
        <x:v>20543</x:v>
      </x:c>
      <x:c r="F78" s="29" t="str">
        <x:v>HSB Brf Siljan i Stockholm, lgh 178</x:v>
      </x:c>
      <x:c r="G78" s="26" t="n">
        <x:v>160000</x:v>
      </x:c>
      <x:c r="H78" s="27" t="n">
        <x:v>0.0202</x:v>
      </x:c>
      <x:c r="I78" s="24" t="n">
        <x:v>42491</x:v>
      </x:c>
      <x:c r="J78" s="28" t="n">
        <x:v>30</x:v>
      </x:c>
      <x:c r="K78" s="26" t="n">
        <x:v>269</x:v>
      </x:c>
      <x:c r="L78" s="26" t="n">
        <x:v>0</x:v>
      </x:c>
      <x:c r="M78" s="26" t="n">
        <x:v>0</x:v>
      </x:c>
      <x:c r="N78" s="26" t="n">
        <x:f>SUM(K78:M78)</x:f>
        <x:v>269</x:v>
      </x:c>
      <x:c r="O78" s="25" t="str">
        <x:v>2016-06-01_02-279136.pdf</x:v>
      </x:c>
      <x:c r="P78" s="28" t="n">
        <x:v>1</x:v>
      </x:c>
      <x:c r="Q78" s="29" t="str">
        <x:v>Ingen amorteringsrad redovisas på avin.</x:v>
      </x:c>
    </x:row>
    <x:row r="79">
      <x:c r="A79" s="24" t="n">
        <x:v>42552</x:v>
      </x:c>
      <x:c r="B79" s="25" t="str">
        <x:v>Bolån</x:v>
      </x:c>
      <x:c r="C79" s="25" t="str">
        <x:v>Stadshypotek AB</x:v>
      </x:c>
      <x:c r="D79" s="25" t="str">
        <x:v>02-279136</x:v>
      </x:c>
      <x:c r="E79" s="25" t="str">
        <x:v>20543</x:v>
      </x:c>
      <x:c r="F79" s="29" t="str">
        <x:v>HSB Brf Siljan i Stockholm, lgh 178</x:v>
      </x:c>
      <x:c r="G79" s="26" t="n">
        <x:v>160000</x:v>
      </x:c>
      <x:c r="H79" s="27" t="n">
        <x:v>0.020499999999999997</x:v>
      </x:c>
      <x:c r="I79" s="24" t="n">
        <x:v>42522</x:v>
      </x:c>
      <x:c r="J79" s="28" t="n">
        <x:v>30</x:v>
      </x:c>
      <x:c r="K79" s="26" t="n">
        <x:v>273</x:v>
      </x:c>
      <x:c r="L79" s="26" t="n">
        <x:v>0</x:v>
      </x:c>
      <x:c r="M79" s="26" t="n">
        <x:v>0</x:v>
      </x:c>
      <x:c r="N79" s="26" t="n">
        <x:f>SUM(K79:M79)</x:f>
        <x:v>273</x:v>
      </x:c>
      <x:c r="O79" s="25" t="str">
        <x:v>2016-07-01_02-279136.pdf</x:v>
      </x:c>
      <x:c r="P79" s="28" t="n">
        <x:v>1</x:v>
      </x:c>
      <x:c r="Q79" s="29" t="str">
        <x:v>Ingen amorteringsrad redovisas på avin.</x:v>
      </x:c>
    </x:row>
    <x:row r="80">
      <x:c r="A80" s="24" t="n">
        <x:v>42583</x:v>
      </x:c>
      <x:c r="B80" s="25" t="str">
        <x:v>Bolån</x:v>
      </x:c>
      <x:c r="C80" s="25" t="str">
        <x:v>Stadshypotek AB</x:v>
      </x:c>
      <x:c r="D80" s="25" t="str">
        <x:v>02-279136</x:v>
      </x:c>
      <x:c r="E80" s="25" t="str">
        <x:v>20543</x:v>
      </x:c>
      <x:c r="F80" s="29" t="str">
        <x:v>HSB Brf Siljan i Stockholm, lgh 178</x:v>
      </x:c>
      <x:c r="G80" s="26" t="n">
        <x:v>160000</x:v>
      </x:c>
      <x:c r="H80" s="27" t="n">
        <x:v>0.020499999999999997</x:v>
      </x:c>
      <x:c r="I80" s="24" t="n">
        <x:v>42552</x:v>
      </x:c>
      <x:c r="J80" s="28" t="n">
        <x:v>30</x:v>
      </x:c>
      <x:c r="K80" s="26" t="n">
        <x:v>273</x:v>
      </x:c>
      <x:c r="L80" s="26" t="n">
        <x:v>0</x:v>
      </x:c>
      <x:c r="M80" s="26" t="n">
        <x:v>0</x:v>
      </x:c>
      <x:c r="N80" s="26" t="n">
        <x:f>SUM(K80:M80)</x:f>
        <x:v>273</x:v>
      </x:c>
      <x:c r="O80" s="25" t="str">
        <x:v>2016-08-01_02-279136.pdf</x:v>
      </x:c>
      <x:c r="P80" s="28" t="n">
        <x:v>1</x:v>
      </x:c>
      <x:c r="Q80" s="29" t="str">
        <x:v>Ingen amorteringsrad redovisas på avin.</x:v>
      </x:c>
    </x:row>
    <x:row r="81">
      <x:c r="A81" s="24" t="n">
        <x:v>42614</x:v>
      </x:c>
      <x:c r="B81" s="25" t="str">
        <x:v>Bolån</x:v>
      </x:c>
      <x:c r="C81" s="25" t="str">
        <x:v>Stadshypotek AB</x:v>
      </x:c>
      <x:c r="D81" s="25" t="str">
        <x:v>02-279136</x:v>
      </x:c>
      <x:c r="E81" s="25" t="str">
        <x:v>20543</x:v>
      </x:c>
      <x:c r="F81" s="29" t="str">
        <x:v>HSB Brf Siljan i Stockholm, lgh 178</x:v>
      </x:c>
      <x:c r="G81" s="26" t="n">
        <x:v>160000</x:v>
      </x:c>
      <x:c r="H81" s="27" t="n">
        <x:v>0.020499999999999997</x:v>
      </x:c>
      <x:c r="I81" s="24" t="n">
        <x:v>42583</x:v>
      </x:c>
      <x:c r="J81" s="28" t="n">
        <x:v>30</x:v>
      </x:c>
      <x:c r="K81" s="26" t="n">
        <x:v>273</x:v>
      </x:c>
      <x:c r="L81" s="26" t="n">
        <x:v>0</x:v>
      </x:c>
      <x:c r="M81" s="26" t="n">
        <x:v>0</x:v>
      </x:c>
      <x:c r="N81" s="26" t="n">
        <x:f>SUM(K81:M81)</x:f>
        <x:v>273</x:v>
      </x:c>
      <x:c r="O81" s="25" t="str">
        <x:v>2016-09-01_02-279136.pdf</x:v>
      </x:c>
      <x:c r="P81" s="28" t="n">
        <x:v>1</x:v>
      </x:c>
      <x:c r="Q81" s="29" t="str">
        <x:v>Ingen amorteringsrad redovisas på avin.</x:v>
      </x:c>
    </x:row>
    <x:row r="82">
      <x:c r="A82" s="24" t="n">
        <x:v>42644</x:v>
      </x:c>
      <x:c r="B82" s="25" t="str">
        <x:v>Bolån</x:v>
      </x:c>
      <x:c r="C82" s="25" t="str">
        <x:v>Stadshypotek AB</x:v>
      </x:c>
      <x:c r="D82" s="25" t="str">
        <x:v>02-279136</x:v>
      </x:c>
      <x:c r="E82" s="25" t="str">
        <x:v>20543</x:v>
      </x:c>
      <x:c r="F82" s="29" t="str">
        <x:v>HSB Brf Siljan i Stockholm, lgh 178</x:v>
      </x:c>
      <x:c r="G82" s="26" t="n">
        <x:v>160000</x:v>
      </x:c>
      <x:c r="H82" s="27" t="n">
        <x:v>0.020499999999999997</x:v>
      </x:c>
      <x:c r="I82" s="24" t="n">
        <x:v>42614</x:v>
      </x:c>
      <x:c r="J82" s="28" t="n">
        <x:v>30</x:v>
      </x:c>
      <x:c r="K82" s="26" t="n">
        <x:v>273</x:v>
      </x:c>
      <x:c r="L82" s="26" t="n">
        <x:v>0</x:v>
      </x:c>
      <x:c r="M82" s="26" t="n">
        <x:v>0</x:v>
      </x:c>
      <x:c r="N82" s="26" t="n">
        <x:f>SUM(K82:M82)</x:f>
        <x:v>273</x:v>
      </x:c>
      <x:c r="O82" s="25" t="str">
        <x:v>2016-10-01_02-279136.pdf</x:v>
      </x:c>
      <x:c r="P82" s="28" t="n">
        <x:v>1</x:v>
      </x:c>
      <x:c r="Q82" s="29" t="str">
        <x:v>Ingen amorteringsrad redovisas på avin.</x:v>
      </x:c>
    </x:row>
    <x:row r="83">
      <x:c r="A83" s="24" t="n">
        <x:v>42675</x:v>
      </x:c>
      <x:c r="B83" s="25" t="str">
        <x:v>Bolån</x:v>
      </x:c>
      <x:c r="C83" s="25" t="str">
        <x:v>Stadshypotek AB</x:v>
      </x:c>
      <x:c r="D83" s="25" t="str">
        <x:v>02-279136</x:v>
      </x:c>
      <x:c r="E83" s="25" t="str">
        <x:v>20543</x:v>
      </x:c>
      <x:c r="F83" s="29" t="str">
        <x:v>HSB Brf Siljan i Stockholm, lgh 178</x:v>
      </x:c>
      <x:c r="G83" s="26" t="n">
        <x:v>160000</x:v>
      </x:c>
      <x:c r="H83" s="27" t="n">
        <x:v>0.020499999999999997</x:v>
      </x:c>
      <x:c r="I83" s="24" t="n">
        <x:v>42644</x:v>
      </x:c>
      <x:c r="J83" s="28" t="n">
        <x:v>30</x:v>
      </x:c>
      <x:c r="K83" s="26" t="n">
        <x:v>273</x:v>
      </x:c>
      <x:c r="L83" s="26" t="n">
        <x:v>0</x:v>
      </x:c>
      <x:c r="M83" s="26" t="n">
        <x:v>0</x:v>
      </x:c>
      <x:c r="N83" s="26" t="n">
        <x:f>SUM(K83:M83)</x:f>
        <x:v>273</x:v>
      </x:c>
      <x:c r="O83" s="25" t="str">
        <x:v>2016-11-01_02-279136.pdf</x:v>
      </x:c>
      <x:c r="P83" s="28" t="n">
        <x:v>1</x:v>
      </x:c>
      <x:c r="Q83" s="29" t="str">
        <x:v>Ingen amorteringsrad redovisas på avin.</x:v>
      </x:c>
    </x:row>
    <x:row r="84">
      <x:c r="A84" s="24" t="n">
        <x:v>42705</x:v>
      </x:c>
      <x:c r="B84" s="25" t="str">
        <x:v>Bolån</x:v>
      </x:c>
      <x:c r="C84" s="25" t="str">
        <x:v>Stadshypotek AB</x:v>
      </x:c>
      <x:c r="D84" s="25" t="str">
        <x:v>02-279136</x:v>
      </x:c>
      <x:c r="E84" s="25" t="str">
        <x:v>20543</x:v>
      </x:c>
      <x:c r="F84" s="29" t="str">
        <x:v>HSB Brf Siljan i Stockholm, lgh 178</x:v>
      </x:c>
      <x:c r="G84" s="26" t="n">
        <x:v>160000</x:v>
      </x:c>
      <x:c r="H84" s="27" t="n">
        <x:v>0.020499999999999997</x:v>
      </x:c>
      <x:c r="I84" s="24" t="n">
        <x:v>42675</x:v>
      </x:c>
      <x:c r="J84" s="28" t="n">
        <x:v>30</x:v>
      </x:c>
      <x:c r="K84" s="26" t="n">
        <x:v>273</x:v>
      </x:c>
      <x:c r="L84" s="26" t="n">
        <x:v>0</x:v>
      </x:c>
      <x:c r="M84" s="26" t="n">
        <x:v>0</x:v>
      </x:c>
      <x:c r="N84" s="26" t="n">
        <x:f>SUM(K84:M84)</x:f>
        <x:v>273</x:v>
      </x:c>
      <x:c r="O84" s="25" t="str">
        <x:v>2016-12-01_02-279136.pdf</x:v>
      </x:c>
      <x:c r="P84" s="28" t="n">
        <x:v>1</x:v>
      </x:c>
      <x:c r="Q84" s="29" t="str">
        <x:v>Ingen amorteringsrad redovisas på avin.</x:v>
      </x:c>
    </x:row>
    <x:row r="85">
      <x:c r="A85" s="24" t="n">
        <x:v>42736</x:v>
      </x:c>
      <x:c r="B85" s="25" t="str">
        <x:v>Bolån</x:v>
      </x:c>
      <x:c r="C85" s="25" t="str">
        <x:v>Stadshypotek AB</x:v>
      </x:c>
      <x:c r="D85" s="25" t="str">
        <x:v>02-279136</x:v>
      </x:c>
      <x:c r="E85" s="25" t="str">
        <x:v>20543</x:v>
      </x:c>
      <x:c r="F85" s="29" t="str">
        <x:v>HSB Brf Siljan i Stockholm, lgh 178</x:v>
      </x:c>
      <x:c r="G85" s="26" t="n">
        <x:v>160000</x:v>
      </x:c>
      <x:c r="H85" s="27" t="n">
        <x:v>0.020499999999999997</x:v>
      </x:c>
      <x:c r="I85" s="24" t="n">
        <x:v>42705</x:v>
      </x:c>
      <x:c r="J85" s="28" t="n">
        <x:v>30</x:v>
      </x:c>
      <x:c r="K85" s="26" t="n">
        <x:v>273</x:v>
      </x:c>
      <x:c r="L85" s="26" t="n">
        <x:v>0</x:v>
      </x:c>
      <x:c r="M85" s="26" t="n">
        <x:v>0</x:v>
      </x:c>
      <x:c r="N85" s="26" t="n">
        <x:f>SUM(K85:M85)</x:f>
        <x:v>273</x:v>
      </x:c>
      <x:c r="O85" s="25" t="str">
        <x:v>2017-01-01_02-279136.pdf</x:v>
      </x:c>
      <x:c r="P85" s="28" t="n">
        <x:v>1</x:v>
      </x:c>
      <x:c r="Q85" s="29" t="str">
        <x:v>Ingen amorteringsrad redovisas på avin.</x:v>
      </x:c>
    </x:row>
    <x:row r="86">
      <x:c r="A86" s="24" t="n">
        <x:v>42767</x:v>
      </x:c>
      <x:c r="B86" s="25" t="str">
        <x:v>Bolån</x:v>
      </x:c>
      <x:c r="C86" s="25" t="str">
        <x:v>Stadshypotek AB</x:v>
      </x:c>
      <x:c r="D86" s="25" t="str">
        <x:v>02-279136</x:v>
      </x:c>
      <x:c r="E86" s="25" t="str">
        <x:v>20543</x:v>
      </x:c>
      <x:c r="F86" s="29" t="str">
        <x:v>HSB Brf Siljan i Stockholm, lgh 178</x:v>
      </x:c>
      <x:c r="G86" s="26" t="n">
        <x:v>160000</x:v>
      </x:c>
      <x:c r="H86" s="27" t="n">
        <x:v>0.020499999999999997</x:v>
      </x:c>
      <x:c r="I86" s="24" t="n">
        <x:v>42736</x:v>
      </x:c>
      <x:c r="J86" s="28" t="n">
        <x:v>30</x:v>
      </x:c>
      <x:c r="K86" s="26" t="n">
        <x:v>273</x:v>
      </x:c>
      <x:c r="L86" s="26" t="n">
        <x:v>0</x:v>
      </x:c>
      <x:c r="M86" s="26" t="n">
        <x:v>0</x:v>
      </x:c>
      <x:c r="N86" s="26" t="n">
        <x:f>SUM(K86:M86)</x:f>
        <x:v>273</x:v>
      </x:c>
      <x:c r="O86" s="25" t="str">
        <x:v>2017-02-01_02-279136.pdf</x:v>
      </x:c>
      <x:c r="P86" s="28" t="n">
        <x:v>1</x:v>
      </x:c>
      <x:c r="Q86" s="29" t="str">
        <x:v>Ingen amorteringsrad redovisas på avin.</x:v>
      </x:c>
    </x:row>
    <x:row r="87">
      <x:c r="A87" s="24" t="n">
        <x:v>42795</x:v>
      </x:c>
      <x:c r="B87" s="25" t="str">
        <x:v>Bolån</x:v>
      </x:c>
      <x:c r="C87" s="25" t="str">
        <x:v>Stadshypotek AB</x:v>
      </x:c>
      <x:c r="D87" s="25" t="str">
        <x:v>02-279136</x:v>
      </x:c>
      <x:c r="E87" s="25" t="str">
        <x:v>20543</x:v>
      </x:c>
      <x:c r="F87" s="29" t="str">
        <x:v>HSB Brf Siljan i Stockholm, lgh 178</x:v>
      </x:c>
      <x:c r="G87" s="26" t="n">
        <x:v>160000</x:v>
      </x:c>
      <x:c r="H87" s="27" t="n">
        <x:v>0.020499999999999997</x:v>
      </x:c>
      <x:c r="I87" s="24" t="n">
        <x:v>42767</x:v>
      </x:c>
      <x:c r="J87" s="28" t="n">
        <x:v>30</x:v>
      </x:c>
      <x:c r="K87" s="26" t="n">
        <x:v>273</x:v>
      </x:c>
      <x:c r="L87" s="26" t="n">
        <x:v>0</x:v>
      </x:c>
      <x:c r="M87" s="26" t="n">
        <x:v>0</x:v>
      </x:c>
      <x:c r="N87" s="26" t="n">
        <x:f>SUM(K87:M87)</x:f>
        <x:v>273</x:v>
      </x:c>
      <x:c r="O87" s="25" t="str">
        <x:v>2017-03-01_02-279136.pdf</x:v>
      </x:c>
      <x:c r="P87" s="28" t="n">
        <x:v>1</x:v>
      </x:c>
      <x:c r="Q87" s="29" t="str">
        <x:v>Ingen amorteringsrad redovisas på avin.</x:v>
      </x:c>
    </x:row>
    <x:row r="88">
      <x:c r="A88" s="24" t="n">
        <x:v>42826</x:v>
      </x:c>
      <x:c r="B88" s="25" t="str">
        <x:v>Bolån</x:v>
      </x:c>
      <x:c r="C88" s="25" t="str">
        <x:v>Stadshypotek AB</x:v>
      </x:c>
      <x:c r="D88" s="25" t="str">
        <x:v>02-279136</x:v>
      </x:c>
      <x:c r="E88" s="25" t="str">
        <x:v>20543</x:v>
      </x:c>
      <x:c r="F88" s="29" t="str">
        <x:v>HSB Brf Siljan i Stockholm, lgh 178</x:v>
      </x:c>
      <x:c r="G88" s="26" t="n">
        <x:v>160000</x:v>
      </x:c>
      <x:c r="H88" s="27" t="n">
        <x:v>0.020499999999999997</x:v>
      </x:c>
      <x:c r="I88" s="24" t="n">
        <x:v>42795</x:v>
      </x:c>
      <x:c r="J88" s="28" t="n">
        <x:v>30</x:v>
      </x:c>
      <x:c r="K88" s="26" t="n">
        <x:v>273</x:v>
      </x:c>
      <x:c r="L88" s="26" t="n">
        <x:v>0</x:v>
      </x:c>
      <x:c r="M88" s="26" t="n">
        <x:v>0</x:v>
      </x:c>
      <x:c r="N88" s="26" t="n">
        <x:f>SUM(K88:M88)</x:f>
        <x:v>273</x:v>
      </x:c>
      <x:c r="O88" s="25" t="str">
        <x:v>2017-04-01_02-279136.pdf</x:v>
      </x:c>
      <x:c r="P88" s="28" t="n">
        <x:v>1</x:v>
      </x:c>
      <x:c r="Q88" s="29" t="str">
        <x:v>Ingen amorteringsrad redovisas på avin.</x:v>
      </x:c>
    </x:row>
    <x:row r="89">
      <x:c r="A89" s="24" t="n">
        <x:v>42856</x:v>
      </x:c>
      <x:c r="B89" s="25" t="str">
        <x:v>Bolån</x:v>
      </x:c>
      <x:c r="C89" s="25" t="str">
        <x:v>Stadshypotek AB</x:v>
      </x:c>
      <x:c r="D89" s="25" t="str">
        <x:v>02-279136</x:v>
      </x:c>
      <x:c r="E89" s="25" t="str">
        <x:v>20543</x:v>
      </x:c>
      <x:c r="F89" s="29" t="str">
        <x:v>HSB Brf Siljan i Stockholm, lgh 178</x:v>
      </x:c>
      <x:c r="G89" s="26" t="n">
        <x:v>160000</x:v>
      </x:c>
      <x:c r="H89" s="27" t="n">
        <x:v>0.020499999999999997</x:v>
      </x:c>
      <x:c r="I89" s="24" t="n">
        <x:v>42826</x:v>
      </x:c>
      <x:c r="J89" s="28" t="n">
        <x:v>30</x:v>
      </x:c>
      <x:c r="K89" s="26" t="n">
        <x:v>273</x:v>
      </x:c>
      <x:c r="L89" s="26" t="n">
        <x:v>0</x:v>
      </x:c>
      <x:c r="M89" s="26" t="n">
        <x:v>0</x:v>
      </x:c>
      <x:c r="N89" s="26" t="n">
        <x:f>SUM(K89:M89)</x:f>
        <x:v>273</x:v>
      </x:c>
      <x:c r="O89" s="25" t="str">
        <x:v>2017-05-01_02-279136.pdf</x:v>
      </x:c>
      <x:c r="P89" s="28" t="n">
        <x:v>1</x:v>
      </x:c>
      <x:c r="Q89" s="29" t="str">
        <x:v>Ingen amorteringsrad redovisas på avin.</x:v>
      </x:c>
    </x:row>
    <x:row r="90">
      <x:c r="A90" s="24" t="n">
        <x:v>42887</x:v>
      </x:c>
      <x:c r="B90" s="25" t="str">
        <x:v>Bolån</x:v>
      </x:c>
      <x:c r="C90" s="25" t="str">
        <x:v>Stadshypotek AB</x:v>
      </x:c>
      <x:c r="D90" s="25" t="str">
        <x:v>02-279136</x:v>
      </x:c>
      <x:c r="E90" s="25" t="str">
        <x:v>20543</x:v>
      </x:c>
      <x:c r="F90" s="29" t="str">
        <x:v>HSB Brf Siljan i Stockholm, lgh 178</x:v>
      </x:c>
      <x:c r="G90" s="26" t="n">
        <x:v>160000</x:v>
      </x:c>
      <x:c r="H90" s="27" t="n">
        <x:v>0.020499999999999997</x:v>
      </x:c>
      <x:c r="I90" s="24" t="n">
        <x:v>42856</x:v>
      </x:c>
      <x:c r="J90" s="28" t="n">
        <x:v>30</x:v>
      </x:c>
      <x:c r="K90" s="26" t="n">
        <x:v>273</x:v>
      </x:c>
      <x:c r="L90" s="26" t="n">
        <x:v>0</x:v>
      </x:c>
      <x:c r="M90" s="26" t="n">
        <x:v>0</x:v>
      </x:c>
      <x:c r="N90" s="26" t="n">
        <x:f>SUM(K90:M90)</x:f>
        <x:v>273</x:v>
      </x:c>
      <x:c r="O90" s="25" t="str">
        <x:v>2017-06-01_02-279136.pdf</x:v>
      </x:c>
      <x:c r="P90" s="28" t="n">
        <x:v>1</x:v>
      </x:c>
      <x:c r="Q90" s="29" t="str">
        <x:v>Ingen amorteringsrad redovisas på avin.</x:v>
      </x:c>
    </x:row>
    <x:row r="91">
      <x:c r="A91" s="24" t="n">
        <x:v>42917</x:v>
      </x:c>
      <x:c r="B91" s="25" t="str">
        <x:v>Bolån</x:v>
      </x:c>
      <x:c r="C91" s="25" t="str">
        <x:v>Stadshypotek AB</x:v>
      </x:c>
      <x:c r="D91" s="25" t="str">
        <x:v>02-279136</x:v>
      </x:c>
      <x:c r="E91" s="25" t="str">
        <x:v>20543</x:v>
      </x:c>
      <x:c r="F91" s="29" t="str">
        <x:v>HSB Brf Siljan i Stockholm, lgh 178</x:v>
      </x:c>
      <x:c r="G91" s="26" t="n">
        <x:v>160000</x:v>
      </x:c>
      <x:c r="H91" s="27" t="n">
        <x:v>0.020499999999999997</x:v>
      </x:c>
      <x:c r="I91" s="24" t="n">
        <x:v>42887</x:v>
      </x:c>
      <x:c r="J91" s="28" t="n">
        <x:v>30</x:v>
      </x:c>
      <x:c r="K91" s="26" t="n">
        <x:v>273</x:v>
      </x:c>
      <x:c r="L91" s="26" t="n">
        <x:v>0</x:v>
      </x:c>
      <x:c r="M91" s="26" t="n">
        <x:v>0</x:v>
      </x:c>
      <x:c r="N91" s="26" t="n">
        <x:f>SUM(K91:M91)</x:f>
        <x:v>273</x:v>
      </x:c>
      <x:c r="O91" s="25" t="str">
        <x:v>2017-07-01_02-279136.pdf</x:v>
      </x:c>
      <x:c r="P91" s="28" t="n">
        <x:v>1</x:v>
      </x:c>
      <x:c r="Q91" s="29" t="str">
        <x:v>Ingen amorteringsrad redovisas på avin.</x:v>
      </x:c>
    </x:row>
    <x:row r="92">
      <x:c r="A92" s="24" t="n">
        <x:v>42948</x:v>
      </x:c>
      <x:c r="B92" s="25" t="str">
        <x:v>Bolån</x:v>
      </x:c>
      <x:c r="C92" s="25" t="str">
        <x:v>Stadshypotek AB</x:v>
      </x:c>
      <x:c r="D92" s="25" t="str">
        <x:v>02-279136</x:v>
      </x:c>
      <x:c r="E92" s="25" t="str">
        <x:v>20543</x:v>
      </x:c>
      <x:c r="F92" s="29" t="str">
        <x:v>HSB Brf Siljan i Stockholm, lgh 178</x:v>
      </x:c>
      <x:c r="G92" s="26" t="n">
        <x:v>160000</x:v>
      </x:c>
      <x:c r="H92" s="27" t="n">
        <x:v>0.020499999999999997</x:v>
      </x:c>
      <x:c r="I92" s="24" t="n">
        <x:v>42917</x:v>
      </x:c>
      <x:c r="J92" s="28" t="n">
        <x:v>30</x:v>
      </x:c>
      <x:c r="K92" s="26" t="n">
        <x:v>273</x:v>
      </x:c>
      <x:c r="L92" s="26" t="n">
        <x:v>0</x:v>
      </x:c>
      <x:c r="M92" s="26" t="n">
        <x:v>0</x:v>
      </x:c>
      <x:c r="N92" s="26" t="n">
        <x:f>SUM(K92:M92)</x:f>
        <x:v>273</x:v>
      </x:c>
      <x:c r="O92" s="25" t="str">
        <x:v>2017-08-01_02-279136.pdf</x:v>
      </x:c>
      <x:c r="P92" s="28" t="n">
        <x:v>1</x:v>
      </x:c>
      <x:c r="Q92" s="29" t="str">
        <x:v>Ingen amorteringsrad redovisas på avin.</x:v>
      </x:c>
    </x:row>
    <x:row r="93">
      <x:c r="A93" s="24" t="n">
        <x:v>42979</x:v>
      </x:c>
      <x:c r="B93" s="25" t="str">
        <x:v>Bolån</x:v>
      </x:c>
      <x:c r="C93" s="25" t="str">
        <x:v>Stadshypotek AB</x:v>
      </x:c>
      <x:c r="D93" s="25" t="str">
        <x:v>02-279136</x:v>
      </x:c>
      <x:c r="E93" s="25" t="str">
        <x:v>20543</x:v>
      </x:c>
      <x:c r="F93" s="29" t="str">
        <x:v>HSB Brf Siljan i Stockholm, lgh 178</x:v>
      </x:c>
      <x:c r="G93" s="26" t="n">
        <x:v>160000</x:v>
      </x:c>
      <x:c r="H93" s="27" t="n">
        <x:v>0.020499999999999997</x:v>
      </x:c>
      <x:c r="I93" s="24" t="n">
        <x:v>42948</x:v>
      </x:c>
      <x:c r="J93" s="28" t="n">
        <x:v>30</x:v>
      </x:c>
      <x:c r="K93" s="26" t="n">
        <x:v>273</x:v>
      </x:c>
      <x:c r="L93" s="26" t="n">
        <x:v>0</x:v>
      </x:c>
      <x:c r="M93" s="26" t="n">
        <x:v>0</x:v>
      </x:c>
      <x:c r="N93" s="26" t="n">
        <x:f>SUM(K93:M93)</x:f>
        <x:v>273</x:v>
      </x:c>
      <x:c r="O93" s="25" t="str">
        <x:v>2017-09-01_02-279136.pdf</x:v>
      </x:c>
      <x:c r="P93" s="28" t="n">
        <x:v>1</x:v>
      </x:c>
      <x:c r="Q93" s="29" t="str">
        <x:v>Ingen amorteringsrad redovisas på avin.</x:v>
      </x:c>
    </x:row>
    <x:row r="94">
      <x:c r="A94" s="24" t="n">
        <x:v>43009</x:v>
      </x:c>
      <x:c r="B94" s="25" t="str">
        <x:v>Bolån</x:v>
      </x:c>
      <x:c r="C94" s="25" t="str">
        <x:v>Stadshypotek AB</x:v>
      </x:c>
      <x:c r="D94" s="25" t="str">
        <x:v>02-279136</x:v>
      </x:c>
      <x:c r="E94" s="25" t="str">
        <x:v>20543</x:v>
      </x:c>
      <x:c r="F94" s="29" t="str">
        <x:v>HSB Brf Siljan i Stockholm, lgh 178</x:v>
      </x:c>
      <x:c r="G94" s="26" t="n">
        <x:v>160000</x:v>
      </x:c>
      <x:c r="H94" s="27" t="n">
        <x:v>0.020499999999999997</x:v>
      </x:c>
      <x:c r="I94" s="24" t="n">
        <x:v>42979</x:v>
      </x:c>
      <x:c r="J94" s="28" t="n">
        <x:v>30</x:v>
      </x:c>
      <x:c r="K94" s="26" t="n">
        <x:v>273</x:v>
      </x:c>
      <x:c r="L94" s="26" t="n">
        <x:v>0</x:v>
      </x:c>
      <x:c r="M94" s="26" t="n">
        <x:v>0</x:v>
      </x:c>
      <x:c r="N94" s="26" t="n">
        <x:f>SUM(K94:M94)</x:f>
        <x:v>273</x:v>
      </x:c>
      <x:c r="O94" s="25" t="str">
        <x:v>2017-10-01_02-279136.pdf</x:v>
      </x:c>
      <x:c r="P94" s="28" t="n">
        <x:v>1</x:v>
      </x:c>
      <x:c r="Q94" s="29" t="str">
        <x:v>Ingen amorteringsrad redovisas på avin.</x:v>
      </x:c>
    </x:row>
    <x:row r="95">
      <x:c r="A95" s="24" t="n">
        <x:v>43040</x:v>
      </x:c>
      <x:c r="B95" s="25" t="str">
        <x:v>Bolån</x:v>
      </x:c>
      <x:c r="C95" s="25" t="str">
        <x:v>Stadshypotek AB</x:v>
      </x:c>
      <x:c r="D95" s="25" t="str">
        <x:v>02-279136</x:v>
      </x:c>
      <x:c r="E95" s="25" t="str">
        <x:v>20543</x:v>
      </x:c>
      <x:c r="F95" s="29" t="str">
        <x:v>HSB Brf Siljan i Stockholm, lgh 178</x:v>
      </x:c>
      <x:c r="G95" s="26" t="n">
        <x:v>160000</x:v>
      </x:c>
      <x:c r="H95" s="27" t="n">
        <x:v>0.020499999999999997</x:v>
      </x:c>
      <x:c r="I95" s="24" t="n">
        <x:v>43009</x:v>
      </x:c>
      <x:c r="J95" s="28" t="n">
        <x:v>30</x:v>
      </x:c>
      <x:c r="K95" s="26" t="n">
        <x:v>273</x:v>
      </x:c>
      <x:c r="L95" s="26" t="n">
        <x:v>0</x:v>
      </x:c>
      <x:c r="M95" s="26" t="n">
        <x:v>0</x:v>
      </x:c>
      <x:c r="N95" s="26" t="n">
        <x:f>SUM(K95:M95)</x:f>
        <x:v>273</x:v>
      </x:c>
      <x:c r="O95" s="25" t="str">
        <x:v>2017-11-01_02-279136.pdf</x:v>
      </x:c>
      <x:c r="P95" s="28" t="n">
        <x:v>1</x:v>
      </x:c>
      <x:c r="Q95" s="29" t="str">
        <x:v>Ingen amorteringsrad redovisas på avin.</x:v>
      </x:c>
    </x:row>
    <x:row r="96">
      <x:c r="A96" s="24" t="n">
        <x:v>43070</x:v>
      </x:c>
      <x:c r="B96" s="25" t="str">
        <x:v>Bolån</x:v>
      </x:c>
      <x:c r="C96" s="25" t="str">
        <x:v>Stadshypotek AB</x:v>
      </x:c>
      <x:c r="D96" s="25" t="str">
        <x:v>02-279136</x:v>
      </x:c>
      <x:c r="E96" s="25" t="str">
        <x:v>20543</x:v>
      </x:c>
      <x:c r="F96" s="29" t="str">
        <x:v>HSB Brf Siljan i Stockholm, lgh 178</x:v>
      </x:c>
      <x:c r="G96" s="26" t="n">
        <x:v>160000</x:v>
      </x:c>
      <x:c r="H96" s="27" t="n">
        <x:v>0.020499999999999997</x:v>
      </x:c>
      <x:c r="I96" s="24" t="n">
        <x:v>43040</x:v>
      </x:c>
      <x:c r="J96" s="28" t="n">
        <x:v>30</x:v>
      </x:c>
      <x:c r="K96" s="26" t="n">
        <x:v>273</x:v>
      </x:c>
      <x:c r="L96" s="26" t="n">
        <x:v>0</x:v>
      </x:c>
      <x:c r="M96" s="26" t="n">
        <x:v>0</x:v>
      </x:c>
      <x:c r="N96" s="26" t="n">
        <x:f>SUM(K96:M96)</x:f>
        <x:v>273</x:v>
      </x:c>
      <x:c r="O96" s="25" t="str">
        <x:v>2017-12-01_02-279136.pdf</x:v>
      </x:c>
      <x:c r="P96" s="28" t="n">
        <x:v>1</x:v>
      </x:c>
      <x:c r="Q96" s="29" t="str">
        <x:v>Ingen amorteringsrad redovisas på avin.</x:v>
      </x:c>
    </x:row>
    <x:row r="97">
      <x:c r="A97" s="24" t="n">
        <x:v>43101</x:v>
      </x:c>
      <x:c r="B97" s="25" t="str">
        <x:v>Bolån</x:v>
      </x:c>
      <x:c r="C97" s="25" t="str">
        <x:v>Stadshypotek AB</x:v>
      </x:c>
      <x:c r="D97" s="25" t="str">
        <x:v>02-279136</x:v>
      </x:c>
      <x:c r="E97" s="25" t="str">
        <x:v>20543</x:v>
      </x:c>
      <x:c r="F97" s="29" t="str">
        <x:v>HSB Brf Siljan i Stockholm, lgh 178</x:v>
      </x:c>
      <x:c r="G97" s="26" t="n">
        <x:v>160000</x:v>
      </x:c>
      <x:c r="H97" s="27" t="n">
        <x:v>0.020499999999999997</x:v>
      </x:c>
      <x:c r="I97" s="24" t="n">
        <x:v>43070</x:v>
      </x:c>
      <x:c r="J97" s="28" t="n">
        <x:v>30</x:v>
      </x:c>
      <x:c r="K97" s="26" t="n">
        <x:v>273</x:v>
      </x:c>
      <x:c r="L97" s="26" t="n">
        <x:v>0</x:v>
      </x:c>
      <x:c r="M97" s="26" t="n">
        <x:v>0</x:v>
      </x:c>
      <x:c r="N97" s="26" t="n">
        <x:f>SUM(K97:M97)</x:f>
        <x:v>273</x:v>
      </x:c>
      <x:c r="O97" s="25" t="str">
        <x:v>2018-01-01_02-279136.pdf</x:v>
      </x:c>
      <x:c r="P97" s="28" t="n">
        <x:v>1</x:v>
      </x:c>
      <x:c r="Q97" s="29" t="str">
        <x:v>Ingen amorteringsrad redovisas på avin.</x:v>
      </x:c>
    </x:row>
    <x:row r="98">
      <x:c r="A98" s="24" t="n">
        <x:v>43132</x:v>
      </x:c>
      <x:c r="B98" s="25" t="str">
        <x:v>Bolån</x:v>
      </x:c>
      <x:c r="C98" s="25" t="str">
        <x:v>Stadshypotek AB</x:v>
      </x:c>
      <x:c r="D98" s="25" t="str">
        <x:v>02-279136</x:v>
      </x:c>
      <x:c r="E98" s="25" t="str">
        <x:v>20543</x:v>
      </x:c>
      <x:c r="F98" s="29" t="str">
        <x:v>HSB Brf Siljan i Stockholm, lgh 178</x:v>
      </x:c>
      <x:c r="G98" s="26" t="n">
        <x:v>160000</x:v>
      </x:c>
      <x:c r="H98" s="27" t="n">
        <x:v>0.020499999999999997</x:v>
      </x:c>
      <x:c r="I98" s="24" t="n">
        <x:v>43101</x:v>
      </x:c>
      <x:c r="J98" s="28" t="n">
        <x:v>30</x:v>
      </x:c>
      <x:c r="K98" s="26" t="n">
        <x:v>273</x:v>
      </x:c>
      <x:c r="L98" s="26" t="n">
        <x:v>0</x:v>
      </x:c>
      <x:c r="M98" s="26" t="n">
        <x:v>0</x:v>
      </x:c>
      <x:c r="N98" s="26" t="n">
        <x:f>SUM(K98:M98)</x:f>
        <x:v>273</x:v>
      </x:c>
      <x:c r="O98" s="25" t="str">
        <x:v>2018-02-01_02-279136.pdf</x:v>
      </x:c>
      <x:c r="P98" s="28" t="n">
        <x:v>1</x:v>
      </x:c>
      <x:c r="Q98" s="29" t="str">
        <x:v>Ingen amorteringsrad redovisas på avin.</x:v>
      </x:c>
    </x:row>
    <x:row r="99">
      <x:c r="A99" s="24" t="n">
        <x:v>43160</x:v>
      </x:c>
      <x:c r="B99" s="25" t="str">
        <x:v>Bolån</x:v>
      </x:c>
      <x:c r="C99" s="25" t="str">
        <x:v>Stadshypotek AB</x:v>
      </x:c>
      <x:c r="D99" s="25" t="str">
        <x:v>02-279136</x:v>
      </x:c>
      <x:c r="E99" s="25" t="str">
        <x:v>20543</x:v>
      </x:c>
      <x:c r="F99" s="29" t="str">
        <x:v>HSB Brf Siljan i Stockholm, lgh 178</x:v>
      </x:c>
      <x:c r="G99" s="26" t="n">
        <x:v>160000</x:v>
      </x:c>
      <x:c r="H99" s="27" t="n">
        <x:v>0.020499999999999997</x:v>
      </x:c>
      <x:c r="I99" s="24" t="n">
        <x:v>43132</x:v>
      </x:c>
      <x:c r="J99" s="28" t="n">
        <x:v>30</x:v>
      </x:c>
      <x:c r="K99" s="26" t="n">
        <x:v>273</x:v>
      </x:c>
      <x:c r="L99" s="26" t="n">
        <x:v>0</x:v>
      </x:c>
      <x:c r="M99" s="26" t="n">
        <x:v>0</x:v>
      </x:c>
      <x:c r="N99" s="26" t="n">
        <x:f>SUM(K99:M99)</x:f>
        <x:v>273</x:v>
      </x:c>
      <x:c r="O99" s="25" t="str">
        <x:v>2018-03-01_02-279136.pdf</x:v>
      </x:c>
      <x:c r="P99" s="28" t="n">
        <x:v>1</x:v>
      </x:c>
      <x:c r="Q99" s="29" t="str">
        <x:v>Ingen amorteringsrad redovisas på avin.</x:v>
      </x:c>
    </x:row>
    <x:row r="100">
      <x:c r="A100" s="24" t="n">
        <x:v>43191</x:v>
      </x:c>
      <x:c r="B100" s="25" t="str">
        <x:v>Bolån</x:v>
      </x:c>
      <x:c r="C100" s="25" t="str">
        <x:v>Stadshypotek AB</x:v>
      </x:c>
      <x:c r="D100" s="25" t="str">
        <x:v>02-279136</x:v>
      </x:c>
      <x:c r="E100" s="25" t="str">
        <x:v>20543</x:v>
      </x:c>
      <x:c r="F100" s="29" t="str">
        <x:v>HSB Brf Siljan i Stockholm, lgh 178</x:v>
      </x:c>
      <x:c r="G100" s="26" t="n">
        <x:v>160000</x:v>
      </x:c>
      <x:c r="H100" s="27" t="n">
        <x:v>0.020499999999999997</x:v>
      </x:c>
      <x:c r="I100" s="24" t="n">
        <x:v>43160</x:v>
      </x:c>
      <x:c r="J100" s="28" t="n">
        <x:v>30</x:v>
      </x:c>
      <x:c r="K100" s="26" t="n">
        <x:v>273</x:v>
      </x:c>
      <x:c r="L100" s="26" t="n">
        <x:v>0</x:v>
      </x:c>
      <x:c r="M100" s="26" t="n">
        <x:v>0</x:v>
      </x:c>
      <x:c r="N100" s="26" t="n">
        <x:f>SUM(K100:M100)</x:f>
        <x:v>273</x:v>
      </x:c>
      <x:c r="O100" s="25" t="str">
        <x:v>2018-04-01_02-279136.pdf</x:v>
      </x:c>
      <x:c r="P100" s="28" t="n">
        <x:v>1</x:v>
      </x:c>
      <x:c r="Q100" s="29" t="str">
        <x:v>Ingen amorteringsrad redovisas på avin.</x:v>
      </x:c>
    </x:row>
    <x:row r="101">
      <x:c r="A101" s="24" t="n">
        <x:v>43221</x:v>
      </x:c>
      <x:c r="B101" s="25" t="str">
        <x:v>Bolån</x:v>
      </x:c>
      <x:c r="C101" s="25" t="str">
        <x:v>Stadshypotek AB</x:v>
      </x:c>
      <x:c r="D101" s="25" t="str">
        <x:v>02-279136</x:v>
      </x:c>
      <x:c r="E101" s="25" t="str">
        <x:v>20543</x:v>
      </x:c>
      <x:c r="F101" s="29" t="str">
        <x:v>HSB Brf Siljan i Stockholm, lgh 178</x:v>
      </x:c>
      <x:c r="G101" s="26" t="n">
        <x:v>160000</x:v>
      </x:c>
      <x:c r="H101" s="27" t="n">
        <x:v>0.020499999999999997</x:v>
      </x:c>
      <x:c r="I101" s="24" t="n">
        <x:v>43191</x:v>
      </x:c>
      <x:c r="J101" s="28" t="n">
        <x:v>30</x:v>
      </x:c>
      <x:c r="K101" s="26" t="n">
        <x:v>273</x:v>
      </x:c>
      <x:c r="L101" s="26" t="n">
        <x:v>0</x:v>
      </x:c>
      <x:c r="M101" s="26" t="n">
        <x:v>0</x:v>
      </x:c>
      <x:c r="N101" s="26" t="n">
        <x:f>SUM(K101:M101)</x:f>
        <x:v>273</x:v>
      </x:c>
      <x:c r="O101" s="25" t="str">
        <x:v>2018-05-01_02-279136.pdf</x:v>
      </x:c>
      <x:c r="P101" s="28" t="n">
        <x:v>1</x:v>
      </x:c>
      <x:c r="Q101" s="29" t="str">
        <x:v>Ingen amorteringsrad redovisas på avin.</x:v>
      </x:c>
    </x:row>
    <x:row r="102">
      <x:c r="A102" s="24" t="n">
        <x:v>43252</x:v>
      </x:c>
      <x:c r="B102" s="25" t="str">
        <x:v>Bolån</x:v>
      </x:c>
      <x:c r="C102" s="25" t="str">
        <x:v>Stadshypotek AB</x:v>
      </x:c>
      <x:c r="D102" s="25" t="str">
        <x:v>02-279136</x:v>
      </x:c>
      <x:c r="E102" s="25" t="str">
        <x:v>20543</x:v>
      </x:c>
      <x:c r="F102" s="29" t="str">
        <x:v>HSB Brf Siljan i Stockholm, lgh 178</x:v>
      </x:c>
      <x:c r="G102" s="26" t="n">
        <x:v>160000</x:v>
      </x:c>
      <x:c r="H102" s="27" t="n">
        <x:v>0.020499999999999997</x:v>
      </x:c>
      <x:c r="I102" s="24" t="n">
        <x:v>43221</x:v>
      </x:c>
      <x:c r="J102" s="28" t="n">
        <x:v>30</x:v>
      </x:c>
      <x:c r="K102" s="26" t="n">
        <x:v>273</x:v>
      </x:c>
      <x:c r="L102" s="26" t="n">
        <x:v>0</x:v>
      </x:c>
      <x:c r="M102" s="26" t="n">
        <x:v>0</x:v>
      </x:c>
      <x:c r="N102" s="26" t="n">
        <x:f>SUM(K102:M102)</x:f>
        <x:v>273</x:v>
      </x:c>
      <x:c r="O102" s="25" t="str">
        <x:v>2018-06-01_02-279136.pdf</x:v>
      </x:c>
      <x:c r="P102" s="28" t="n">
        <x:v>1</x:v>
      </x:c>
      <x:c r="Q102" s="29" t="str">
        <x:v>Ingen amorteringsrad redovisas på avin.</x:v>
      </x:c>
    </x:row>
    <x:row r="103">
      <x:c r="A103" s="24" t="n">
        <x:v>43282</x:v>
      </x:c>
      <x:c r="B103" s="25" t="str">
        <x:v>Bolån</x:v>
      </x:c>
      <x:c r="C103" s="25" t="str">
        <x:v>Stadshypotek AB</x:v>
      </x:c>
      <x:c r="D103" s="25" t="str">
        <x:v>02-279136</x:v>
      </x:c>
      <x:c r="E103" s="25" t="str">
        <x:v>20543</x:v>
      </x:c>
      <x:c r="F103" s="29" t="str">
        <x:v>HSB Brf Siljan i Stockholm, lgh 178</x:v>
      </x:c>
      <x:c r="G103" s="26" t="n">
        <x:v>160000</x:v>
      </x:c>
      <x:c r="H103" s="27" t="n">
        <x:v>0.020499999999999997</x:v>
      </x:c>
      <x:c r="I103" s="24" t="n">
        <x:v>43252</x:v>
      </x:c>
      <x:c r="J103" s="28" t="n">
        <x:v>30</x:v>
      </x:c>
      <x:c r="K103" s="26" t="n">
        <x:v>273</x:v>
      </x:c>
      <x:c r="L103" s="26" t="n">
        <x:v>0</x:v>
      </x:c>
      <x:c r="M103" s="26" t="n">
        <x:v>0</x:v>
      </x:c>
      <x:c r="N103" s="26" t="n">
        <x:f>SUM(K103:M103)</x:f>
        <x:v>273</x:v>
      </x:c>
      <x:c r="O103" s="25" t="str">
        <x:v>2018-07-01_02-279136.pdf</x:v>
      </x:c>
      <x:c r="P103" s="28" t="n">
        <x:v>1</x:v>
      </x:c>
      <x:c r="Q103" s="29" t="str">
        <x:v>Ingen amorteringsrad redovisas på avin.</x:v>
      </x:c>
    </x:row>
    <x:row r="104">
      <x:c r="A104" s="24" t="n">
        <x:v>43313</x:v>
      </x:c>
      <x:c r="B104" s="25" t="str">
        <x:v>Bolån</x:v>
      </x:c>
      <x:c r="C104" s="25" t="str">
        <x:v>Stadshypotek AB</x:v>
      </x:c>
      <x:c r="D104" s="25" t="str">
        <x:v>02-279136</x:v>
      </x:c>
      <x:c r="E104" s="25" t="str">
        <x:v>20543</x:v>
      </x:c>
      <x:c r="F104" s="29" t="str">
        <x:v>HSB Brf Siljan i Stockholm, lgh 178</x:v>
      </x:c>
      <x:c r="G104" s="26" t="n">
        <x:v>160000</x:v>
      </x:c>
      <x:c r="H104" s="27" t="n">
        <x:v>0.020499999999999997</x:v>
      </x:c>
      <x:c r="I104" s="24" t="n">
        <x:v>43282</x:v>
      </x:c>
      <x:c r="J104" s="28" t="n">
        <x:v>30</x:v>
      </x:c>
      <x:c r="K104" s="26" t="n">
        <x:v>273</x:v>
      </x:c>
      <x:c r="L104" s="26" t="n">
        <x:v>0</x:v>
      </x:c>
      <x:c r="M104" s="26" t="n">
        <x:v>0</x:v>
      </x:c>
      <x:c r="N104" s="26" t="n">
        <x:f>SUM(K104:M104)</x:f>
        <x:v>273</x:v>
      </x:c>
      <x:c r="O104" s="25" t="str">
        <x:v>2018-08-01_02-279136.pdf</x:v>
      </x:c>
      <x:c r="P104" s="28" t="n">
        <x:v>1</x:v>
      </x:c>
      <x:c r="Q104" s="29" t="str">
        <x:v>Ingen amorteringsrad redovisas på avin.</x:v>
      </x:c>
    </x:row>
    <x:row r="105">
      <x:c r="A105" s="24" t="n">
        <x:v>43344</x:v>
      </x:c>
      <x:c r="B105" s="25" t="str">
        <x:v>Bolån</x:v>
      </x:c>
      <x:c r="C105" s="25" t="str">
        <x:v>Stadshypotek AB</x:v>
      </x:c>
      <x:c r="D105" s="25" t="str">
        <x:v>02-279136</x:v>
      </x:c>
      <x:c r="E105" s="25" t="str">
        <x:v>20543</x:v>
      </x:c>
      <x:c r="F105" s="29" t="str">
        <x:v>HSB Brf Siljan i Stockholm, lgh 178</x:v>
      </x:c>
      <x:c r="G105" s="26" t="n">
        <x:v>160000</x:v>
      </x:c>
      <x:c r="H105" s="27" t="n">
        <x:v>0.020499999999999997</x:v>
      </x:c>
      <x:c r="I105" s="24" t="n">
        <x:v>43313</x:v>
      </x:c>
      <x:c r="J105" s="28" t="n">
        <x:v>30</x:v>
      </x:c>
      <x:c r="K105" s="26" t="n">
        <x:v>273</x:v>
      </x:c>
      <x:c r="L105" s="26" t="n">
        <x:v>0</x:v>
      </x:c>
      <x:c r="M105" s="26" t="n">
        <x:v>0</x:v>
      </x:c>
      <x:c r="N105" s="26" t="n">
        <x:f>SUM(K105:M105)</x:f>
        <x:v>273</x:v>
      </x:c>
      <x:c r="O105" s="25" t="str">
        <x:v>2018-09-01_02-279136.pdf</x:v>
      </x:c>
      <x:c r="P105" s="28" t="n">
        <x:v>1</x:v>
      </x:c>
      <x:c r="Q105" s="29" t="str">
        <x:v>Ingen amorteringsrad redovisas på avin.</x:v>
      </x:c>
    </x:row>
    <x:row r="106">
      <x:c r="A106" s="24" t="n">
        <x:v>43374</x:v>
      </x:c>
      <x:c r="B106" s="25" t="str">
        <x:v>Bolån</x:v>
      </x:c>
      <x:c r="C106" s="25" t="str">
        <x:v>Stadshypotek AB</x:v>
      </x:c>
      <x:c r="D106" s="25" t="str">
        <x:v>02-279136</x:v>
      </x:c>
      <x:c r="E106" s="25" t="str">
        <x:v>20543</x:v>
      </x:c>
      <x:c r="F106" s="29" t="str">
        <x:v>HSB Brf Siljan i Stockholm, lgh 178</x:v>
      </x:c>
      <x:c r="G106" s="26" t="n">
        <x:v>160000</x:v>
      </x:c>
      <x:c r="H106" s="27" t="n">
        <x:v>0.020499999999999997</x:v>
      </x:c>
      <x:c r="I106" s="24" t="n">
        <x:v>43344</x:v>
      </x:c>
      <x:c r="J106" s="28" t="n">
        <x:v>30</x:v>
      </x:c>
      <x:c r="K106" s="26" t="n">
        <x:v>273</x:v>
      </x:c>
      <x:c r="L106" s="26" t="n">
        <x:v>0</x:v>
      </x:c>
      <x:c r="M106" s="26" t="n">
        <x:v>0</x:v>
      </x:c>
      <x:c r="N106" s="26" t="n">
        <x:f>SUM(K106:M106)</x:f>
        <x:v>273</x:v>
      </x:c>
      <x:c r="O106" s="25" t="str">
        <x:v>2018-10-01_02-279136.pdf</x:v>
      </x:c>
      <x:c r="P106" s="28" t="n">
        <x:v>1</x:v>
      </x:c>
      <x:c r="Q106" s="29" t="str">
        <x:v>Ingen amorteringsrad redovisas på avin.</x:v>
      </x:c>
    </x:row>
    <x:row r="107">
      <x:c r="A107" s="24" t="n">
        <x:v>43405</x:v>
      </x:c>
      <x:c r="B107" s="25" t="str">
        <x:v>Bolån</x:v>
      </x:c>
      <x:c r="C107" s="25" t="str">
        <x:v>Stadshypotek AB</x:v>
      </x:c>
      <x:c r="D107" s="25" t="str">
        <x:v>02-279136</x:v>
      </x:c>
      <x:c r="E107" s="25" t="str">
        <x:v>20543</x:v>
      </x:c>
      <x:c r="F107" s="29" t="str">
        <x:v>HSB Brf Siljan i Stockholm, lgh 178</x:v>
      </x:c>
      <x:c r="G107" s="26" t="n">
        <x:v>160000</x:v>
      </x:c>
      <x:c r="H107" s="27" t="n">
        <x:v>0.020499999999999997</x:v>
      </x:c>
      <x:c r="I107" s="24" t="n">
        <x:v>43374</x:v>
      </x:c>
      <x:c r="J107" s="28" t="n">
        <x:v>30</x:v>
      </x:c>
      <x:c r="K107" s="26" t="n">
        <x:v>273</x:v>
      </x:c>
      <x:c r="L107" s="26" t="n">
        <x:v>0</x:v>
      </x:c>
      <x:c r="M107" s="26" t="n">
        <x:v>0</x:v>
      </x:c>
      <x:c r="N107" s="26" t="n">
        <x:f>SUM(K107:M107)</x:f>
        <x:v>273</x:v>
      </x:c>
      <x:c r="O107" s="25" t="str">
        <x:v>2018-11-01_02-279136.pdf</x:v>
      </x:c>
      <x:c r="P107" s="28" t="n">
        <x:v>1</x:v>
      </x:c>
      <x:c r="Q107" s="29" t="str">
        <x:v>Ingen amorteringsrad redovisas på avin.</x:v>
      </x:c>
    </x:row>
    <x:row r="108">
      <x:c r="A108" s="24" t="n">
        <x:v>43435</x:v>
      </x:c>
      <x:c r="B108" s="25" t="str">
        <x:v>Bolån</x:v>
      </x:c>
      <x:c r="C108" s="25" t="str">
        <x:v>Stadshypotek AB</x:v>
      </x:c>
      <x:c r="D108" s="25" t="str">
        <x:v>02-279136</x:v>
      </x:c>
      <x:c r="E108" s="25" t="str">
        <x:v>20543</x:v>
      </x:c>
      <x:c r="F108" s="29" t="str">
        <x:v>HSB Brf Siljan i Stockholm, lgh 178</x:v>
      </x:c>
      <x:c r="G108" s="26" t="n">
        <x:v>160000</x:v>
      </x:c>
      <x:c r="H108" s="27" t="n">
        <x:v>0.020499999999999997</x:v>
      </x:c>
      <x:c r="I108" s="24" t="n">
        <x:v>43405</x:v>
      </x:c>
      <x:c r="J108" s="28" t="n">
        <x:v>30</x:v>
      </x:c>
      <x:c r="K108" s="26" t="n">
        <x:v>273</x:v>
      </x:c>
      <x:c r="L108" s="26" t="n">
        <x:v>0</x:v>
      </x:c>
      <x:c r="M108" s="26" t="n">
        <x:v>0</x:v>
      </x:c>
      <x:c r="N108" s="26" t="n">
        <x:f>SUM(K108:M108)</x:f>
        <x:v>273</x:v>
      </x:c>
      <x:c r="O108" s="25" t="str">
        <x:v>2018-12-01_02-279136.pdf</x:v>
      </x:c>
      <x:c r="P108" s="28" t="n">
        <x:v>1</x:v>
      </x:c>
      <x:c r="Q108" s="29" t="str">
        <x:v>Ingen amorteringsrad redovisas på avin.</x:v>
      </x:c>
    </x:row>
    <x:row r="109">
      <x:c r="A109" s="24" t="n">
        <x:v>43466</x:v>
      </x:c>
      <x:c r="B109" s="25" t="str">
        <x:v>Bolån</x:v>
      </x:c>
      <x:c r="C109" s="25" t="str">
        <x:v>Stadshypotek AB</x:v>
      </x:c>
      <x:c r="D109" s="25" t="str">
        <x:v>02-279136</x:v>
      </x:c>
      <x:c r="E109" s="25" t="str">
        <x:v>20543</x:v>
      </x:c>
      <x:c r="F109" s="29" t="str">
        <x:v>HSB Brf Siljan i Stockholm, lgh 178</x:v>
      </x:c>
      <x:c r="G109" s="26" t="n">
        <x:v>160000</x:v>
      </x:c>
      <x:c r="H109" s="27" t="n">
        <x:v>0.020499999999999997</x:v>
      </x:c>
      <x:c r="I109" s="24" t="n">
        <x:v>43435</x:v>
      </x:c>
      <x:c r="J109" s="28" t="n">
        <x:v>30</x:v>
      </x:c>
      <x:c r="K109" s="26" t="n">
        <x:v>273</x:v>
      </x:c>
      <x:c r="L109" s="26" t="n">
        <x:v>0</x:v>
      </x:c>
      <x:c r="M109" s="26" t="n">
        <x:v>0</x:v>
      </x:c>
      <x:c r="N109" s="26" t="n">
        <x:f>SUM(K109:M109)</x:f>
        <x:v>273</x:v>
      </x:c>
      <x:c r="O109" s="25" t="str">
        <x:v>2019-01-01_02-279136.pdf</x:v>
      </x:c>
      <x:c r="P109" s="28" t="n">
        <x:v>1</x:v>
      </x:c>
      <x:c r="Q109" s="29" t="str">
        <x:v>Ingen amorteringsrad redovisas på avin.</x:v>
      </x:c>
    </x:row>
    <x:row r="110">
      <x:c r="A110" s="24" t="n">
        <x:v>43497</x:v>
      </x:c>
      <x:c r="B110" s="25" t="str">
        <x:v>Bolån</x:v>
      </x:c>
      <x:c r="C110" s="25" t="str">
        <x:v>Stadshypotek AB</x:v>
      </x:c>
      <x:c r="D110" s="25" t="str">
        <x:v>02-279136</x:v>
      </x:c>
      <x:c r="E110" s="25" t="str">
        <x:v>20543</x:v>
      </x:c>
      <x:c r="F110" s="29" t="str">
        <x:v>HSB Brf Siljan i Stockholm, lgh 178</x:v>
      </x:c>
      <x:c r="G110" s="26" t="n">
        <x:v>160000</x:v>
      </x:c>
      <x:c r="H110" s="27" t="n">
        <x:v>0.020499999999999997</x:v>
      </x:c>
      <x:c r="I110" s="24" t="n">
        <x:v>43466</x:v>
      </x:c>
      <x:c r="J110" s="28" t="n">
        <x:v>30</x:v>
      </x:c>
      <x:c r="K110" s="26" t="n">
        <x:v>273</x:v>
      </x:c>
      <x:c r="L110" s="26" t="n">
        <x:v>0</x:v>
      </x:c>
      <x:c r="M110" s="26" t="n">
        <x:v>0</x:v>
      </x:c>
      <x:c r="N110" s="26" t="n">
        <x:f>SUM(K110:M110)</x:f>
        <x:v>273</x:v>
      </x:c>
      <x:c r="O110" s="25" t="str">
        <x:v>2019-02-01_02-279136.pdf</x:v>
      </x:c>
      <x:c r="P110" s="28" t="n">
        <x:v>1</x:v>
      </x:c>
      <x:c r="Q110" s="29" t="str">
        <x:v>Ingen amorteringsrad redovisas på avin.</x:v>
      </x:c>
    </x:row>
    <x:row r="111">
      <x:c r="A111" s="24" t="n">
        <x:v>43525</x:v>
      </x:c>
      <x:c r="B111" s="25" t="str">
        <x:v>Bolån</x:v>
      </x:c>
      <x:c r="C111" s="25" t="str">
        <x:v>Stadshypotek AB</x:v>
      </x:c>
      <x:c r="D111" s="25" t="str">
        <x:v>02-279136</x:v>
      </x:c>
      <x:c r="E111" s="25" t="str">
        <x:v>20543</x:v>
      </x:c>
      <x:c r="F111" s="29" t="str">
        <x:v>HSB Brf Siljan i Stockholm, lgh 178</x:v>
      </x:c>
      <x:c r="G111" s="26" t="n">
        <x:v>160000</x:v>
      </x:c>
      <x:c r="H111" s="27" t="n">
        <x:v>0.020499999999999997</x:v>
      </x:c>
      <x:c r="I111" s="24" t="n">
        <x:v>43497</x:v>
      </x:c>
      <x:c r="J111" s="28" t="n">
        <x:v>30</x:v>
      </x:c>
      <x:c r="K111" s="26" t="n">
        <x:v>273</x:v>
      </x:c>
      <x:c r="L111" s="26" t="n">
        <x:v>0</x:v>
      </x:c>
      <x:c r="M111" s="26" t="n">
        <x:v>0</x:v>
      </x:c>
      <x:c r="N111" s="26" t="n">
        <x:f>SUM(K111:M111)</x:f>
        <x:v>273</x:v>
      </x:c>
      <x:c r="O111" s="25" t="str">
        <x:v>2019-03-01_02-279136.pdf</x:v>
      </x:c>
      <x:c r="P111" s="28" t="n">
        <x:v>1</x:v>
      </x:c>
      <x:c r="Q111" s="29" t="str">
        <x:v>Ingen amorteringsrad redovisas på avin.</x:v>
      </x:c>
    </x:row>
    <x:row r="112">
      <x:c r="A112" s="24" t="n">
        <x:v>43556</x:v>
      </x:c>
      <x:c r="B112" s="25" t="str">
        <x:v>Bolån</x:v>
      </x:c>
      <x:c r="C112" s="25" t="str">
        <x:v>Stadshypotek AB</x:v>
      </x:c>
      <x:c r="D112" s="25" t="str">
        <x:v>02-279136</x:v>
      </x:c>
      <x:c r="E112" s="25" t="str">
        <x:v>20543</x:v>
      </x:c>
      <x:c r="F112" s="29" t="str">
        <x:v>HSB Brf Siljan i Stockholm, lgh 178</x:v>
      </x:c>
      <x:c r="G112" s="26" t="n">
        <x:v>160000</x:v>
      </x:c>
      <x:c r="H112" s="27" t="n">
        <x:v>0.0225</x:v>
      </x:c>
      <x:c r="I112" s="24" t="n">
        <x:v>43525</x:v>
      </x:c>
      <x:c r="J112" s="28" t="n">
        <x:v>30</x:v>
      </x:c>
      <x:c r="K112" s="26" t="n">
        <x:v>300</x:v>
      </x:c>
      <x:c r="L112" s="26" t="n">
        <x:v>0</x:v>
      </x:c>
      <x:c r="M112" s="26" t="n">
        <x:v>0</x:v>
      </x:c>
      <x:c r="N112" s="26" t="n">
        <x:f>SUM(K112:M112)</x:f>
        <x:v>300</x:v>
      </x:c>
      <x:c r="O112" s="25" t="str">
        <x:v>2019-04-01_02-279136.pdf</x:v>
      </x:c>
      <x:c r="P112" s="28" t="n">
        <x:v>1</x:v>
      </x:c>
      <x:c r="Q112" s="29" t="str">
        <x:v>Ingen amorteringsrad redovisas på avin.</x:v>
      </x:c>
    </x:row>
    <x:row r="113">
      <x:c r="A113" s="24" t="n">
        <x:v>43586</x:v>
      </x:c>
      <x:c r="B113" s="25" t="str">
        <x:v>Bolån</x:v>
      </x:c>
      <x:c r="C113" s="25" t="str">
        <x:v>Stadshypotek AB</x:v>
      </x:c>
      <x:c r="D113" s="25" t="str">
        <x:v>02-279136</x:v>
      </x:c>
      <x:c r="E113" s="25" t="str">
        <x:v>20543</x:v>
      </x:c>
      <x:c r="F113" s="29" t="str">
        <x:v>HSB Brf Siljan i Stockholm, lgh 178</x:v>
      </x:c>
      <x:c r="G113" s="26" t="n">
        <x:v>160000</x:v>
      </x:c>
      <x:c r="H113" s="27" t="n">
        <x:v>0.0225</x:v>
      </x:c>
      <x:c r="I113" s="24" t="n">
        <x:v>43556</x:v>
      </x:c>
      <x:c r="J113" s="28" t="n">
        <x:v>30</x:v>
      </x:c>
      <x:c r="K113" s="26" t="n">
        <x:v>300</x:v>
      </x:c>
      <x:c r="L113" s="26" t="n">
        <x:v>0</x:v>
      </x:c>
      <x:c r="M113" s="26" t="n">
        <x:v>0</x:v>
      </x:c>
      <x:c r="N113" s="26" t="n">
        <x:f>SUM(K113:M113)</x:f>
        <x:v>300</x:v>
      </x:c>
      <x:c r="O113" s="25" t="str">
        <x:v>2019-05-01_02-279136.pdf</x:v>
      </x:c>
      <x:c r="P113" s="28" t="n">
        <x:v>1</x:v>
      </x:c>
      <x:c r="Q113" s="29" t="str">
        <x:v>Ingen amorteringsrad redovisas på avin.</x:v>
      </x:c>
    </x:row>
    <x:row r="114">
      <x:c r="A114" s="24" t="n">
        <x:v>43617</x:v>
      </x:c>
      <x:c r="B114" s="25" t="str">
        <x:v>Bolån</x:v>
      </x:c>
      <x:c r="C114" s="25" t="str">
        <x:v>Stadshypotek AB</x:v>
      </x:c>
      <x:c r="D114" s="25" t="str">
        <x:v>02-279136</x:v>
      </x:c>
      <x:c r="E114" s="25" t="str">
        <x:v>20543</x:v>
      </x:c>
      <x:c r="F114" s="29" t="str">
        <x:v>HSB Brf Siljan i Stockholm, lgh 178</x:v>
      </x:c>
      <x:c r="G114" s="26" t="n">
        <x:v>160000</x:v>
      </x:c>
      <x:c r="H114" s="27" t="n">
        <x:v>0.0225</x:v>
      </x:c>
      <x:c r="I114" s="24" t="n">
        <x:v>43586</x:v>
      </x:c>
      <x:c r="J114" s="28" t="n">
        <x:v>30</x:v>
      </x:c>
      <x:c r="K114" s="26" t="n">
        <x:v>300</x:v>
      </x:c>
      <x:c r="L114" s="26" t="n">
        <x:v>0</x:v>
      </x:c>
      <x:c r="M114" s="26" t="n">
        <x:v>0</x:v>
      </x:c>
      <x:c r="N114" s="26" t="n">
        <x:f>SUM(K114:M114)</x:f>
        <x:v>300</x:v>
      </x:c>
      <x:c r="O114" s="25" t="str">
        <x:v>2019-06-01_02-279136.pdf</x:v>
      </x:c>
      <x:c r="P114" s="28" t="n">
        <x:v>1</x:v>
      </x:c>
      <x:c r="Q114" s="29" t="str">
        <x:v>Ingen amorteringsrad redovisas på avin.</x:v>
      </x:c>
    </x:row>
    <x:row r="115">
      <x:c r="A115" s="24" t="n">
        <x:v>43647</x:v>
      </x:c>
      <x:c r="B115" s="25" t="str">
        <x:v>Bolån</x:v>
      </x:c>
      <x:c r="C115" s="25" t="str">
        <x:v>Stadshypotek AB</x:v>
      </x:c>
      <x:c r="D115" s="25" t="str">
        <x:v>02-279136</x:v>
      </x:c>
      <x:c r="E115" s="25" t="str">
        <x:v>20543</x:v>
      </x:c>
      <x:c r="F115" s="29" t="str">
        <x:v>HSB Brf Siljan i Stockholm, lgh 178</x:v>
      </x:c>
      <x:c r="G115" s="26" t="n">
        <x:v>160000</x:v>
      </x:c>
      <x:c r="H115" s="27" t="n">
        <x:v>0.0225</x:v>
      </x:c>
      <x:c r="I115" s="24" t="n">
        <x:v>43617</x:v>
      </x:c>
      <x:c r="J115" s="28" t="n">
        <x:v>30</x:v>
      </x:c>
      <x:c r="K115" s="26" t="n">
        <x:v>300</x:v>
      </x:c>
      <x:c r="L115" s="26" t="n">
        <x:v>0</x:v>
      </x:c>
      <x:c r="M115" s="26" t="n">
        <x:v>0</x:v>
      </x:c>
      <x:c r="N115" s="26" t="n">
        <x:f>SUM(K115:M115)</x:f>
        <x:v>300</x:v>
      </x:c>
      <x:c r="O115" s="25" t="str">
        <x:v>2019-07-01_02-279136.pdf</x:v>
      </x:c>
      <x:c r="P115" s="28" t="n">
        <x:v>1</x:v>
      </x:c>
      <x:c r="Q115" s="29" t="str">
        <x:v>Ingen amorteringsrad redovisas på avin.</x:v>
      </x:c>
    </x:row>
    <x:row r="116">
      <x:c r="A116" s="24" t="n">
        <x:v>43678</x:v>
      </x:c>
      <x:c r="B116" s="25" t="str">
        <x:v>Bolån</x:v>
      </x:c>
      <x:c r="C116" s="25" t="str">
        <x:v>Stadshypotek AB</x:v>
      </x:c>
      <x:c r="D116" s="25" t="str">
        <x:v>02-279136</x:v>
      </x:c>
      <x:c r="E116" s="25" t="str">
        <x:v>20543</x:v>
      </x:c>
      <x:c r="F116" s="29" t="str">
        <x:v>HSB Brf Siljan i Stockholm, lgh 178</x:v>
      </x:c>
      <x:c r="G116" s="26" t="n">
        <x:v>160000</x:v>
      </x:c>
      <x:c r="H116" s="27" t="n">
        <x:v>0.0225</x:v>
      </x:c>
      <x:c r="I116" s="24" t="n">
        <x:v>43647</x:v>
      </x:c>
      <x:c r="J116" s="28" t="n">
        <x:v>30</x:v>
      </x:c>
      <x:c r="K116" s="26" t="n">
        <x:v>300</x:v>
      </x:c>
      <x:c r="L116" s="26" t="n">
        <x:v>0</x:v>
      </x:c>
      <x:c r="M116" s="26" t="n">
        <x:v>0</x:v>
      </x:c>
      <x:c r="N116" s="26" t="n">
        <x:f>SUM(K116:M116)</x:f>
        <x:v>300</x:v>
      </x:c>
      <x:c r="O116" s="25" t="str">
        <x:v>2019-08-01_02-279136.pdf</x:v>
      </x:c>
      <x:c r="P116" s="28" t="n">
        <x:v>1</x:v>
      </x:c>
      <x:c r="Q116" s="29" t="str">
        <x:v>Ingen amorteringsrad redovisas på avin.</x:v>
      </x:c>
    </x:row>
    <x:row r="117">
      <x:c r="A117" s="24" t="n">
        <x:v>43709</x:v>
      </x:c>
      <x:c r="B117" s="25" t="str">
        <x:v>Bolån</x:v>
      </x:c>
      <x:c r="C117" s="25" t="str">
        <x:v>Stadshypotek AB</x:v>
      </x:c>
      <x:c r="D117" s="25" t="str">
        <x:v>02-279136</x:v>
      </x:c>
      <x:c r="E117" s="25" t="str">
        <x:v>20543</x:v>
      </x:c>
      <x:c r="F117" s="29" t="str">
        <x:v>HSB Brf Siljan i Stockholm, lgh 178</x:v>
      </x:c>
      <x:c r="G117" s="26" t="n">
        <x:v>160000</x:v>
      </x:c>
      <x:c r="H117" s="27" t="n">
        <x:v>0.0225</x:v>
      </x:c>
      <x:c r="I117" s="24" t="n">
        <x:v>43678</x:v>
      </x:c>
      <x:c r="J117" s="28" t="n">
        <x:v>30</x:v>
      </x:c>
      <x:c r="K117" s="26" t="n">
        <x:v>300</x:v>
      </x:c>
      <x:c r="L117" s="26" t="n">
        <x:v>0</x:v>
      </x:c>
      <x:c r="M117" s="26" t="n">
        <x:v>0</x:v>
      </x:c>
      <x:c r="N117" s="26" t="n">
        <x:f>SUM(K117:M117)</x:f>
        <x:v>300</x:v>
      </x:c>
      <x:c r="O117" s="25" t="str">
        <x:v>2019-09-01_02-279136.pdf</x:v>
      </x:c>
      <x:c r="P117" s="28" t="n">
        <x:v>1</x:v>
      </x:c>
      <x:c r="Q117" s="29" t="str">
        <x:v>Ingen amorteringsrad redovisas på avin.</x:v>
      </x:c>
    </x:row>
    <x:row r="118">
      <x:c r="A118" s="24" t="n">
        <x:v>43739</x:v>
      </x:c>
      <x:c r="B118" s="25" t="str">
        <x:v>Bolån</x:v>
      </x:c>
      <x:c r="C118" s="25" t="str">
        <x:v>Stadshypotek AB</x:v>
      </x:c>
      <x:c r="D118" s="25" t="str">
        <x:v>02-279136</x:v>
      </x:c>
      <x:c r="E118" s="25" t="str">
        <x:v>20543</x:v>
      </x:c>
      <x:c r="F118" s="29" t="str">
        <x:v>HSB Brf Siljan i Stockholm, lgh 178</x:v>
      </x:c>
      <x:c r="G118" s="26" t="n">
        <x:v>160000</x:v>
      </x:c>
      <x:c r="H118" s="27" t="n">
        <x:v>0.0225</x:v>
      </x:c>
      <x:c r="I118" s="24" t="n">
        <x:v>43709</x:v>
      </x:c>
      <x:c r="J118" s="28" t="n">
        <x:v>30</x:v>
      </x:c>
      <x:c r="K118" s="26" t="n">
        <x:v>300</x:v>
      </x:c>
      <x:c r="L118" s="26" t="n">
        <x:v>0</x:v>
      </x:c>
      <x:c r="M118" s="26" t="n">
        <x:v>0</x:v>
      </x:c>
      <x:c r="N118" s="26" t="n">
        <x:f>SUM(K118:M118)</x:f>
        <x:v>300</x:v>
      </x:c>
      <x:c r="O118" s="25" t="str">
        <x:v>2019-10-01_02-279136.pdf</x:v>
      </x:c>
      <x:c r="P118" s="28" t="n">
        <x:v>1</x:v>
      </x:c>
      <x:c r="Q118" s="29" t="str">
        <x:v>Ingen amorteringsrad redovisas på avin.</x:v>
      </x:c>
    </x:row>
    <x:row r="119">
      <x:c r="A119" s="24" t="n">
        <x:v>43770</x:v>
      </x:c>
      <x:c r="B119" s="25" t="str">
        <x:v>Bolån</x:v>
      </x:c>
      <x:c r="C119" s="25" t="str">
        <x:v>Stadshypotek AB</x:v>
      </x:c>
      <x:c r="D119" s="25" t="str">
        <x:v>02-279136</x:v>
      </x:c>
      <x:c r="E119" s="25" t="str">
        <x:v>20543</x:v>
      </x:c>
      <x:c r="F119" s="29" t="str">
        <x:v>HSB Brf Siljan i Stockholm, lgh 178</x:v>
      </x:c>
      <x:c r="G119" s="26" t="n">
        <x:v>160000</x:v>
      </x:c>
      <x:c r="H119" s="27" t="n">
        <x:v>0.0225</x:v>
      </x:c>
      <x:c r="I119" s="24" t="n">
        <x:v>43739</x:v>
      </x:c>
      <x:c r="J119" s="28" t="n">
        <x:v>30</x:v>
      </x:c>
      <x:c r="K119" s="26" t="n">
        <x:v>300</x:v>
      </x:c>
      <x:c r="L119" s="26" t="n">
        <x:v>0</x:v>
      </x:c>
      <x:c r="M119" s="26" t="n">
        <x:v>0</x:v>
      </x:c>
      <x:c r="N119" s="26" t="n">
        <x:f>SUM(K119:M119)</x:f>
        <x:v>300</x:v>
      </x:c>
      <x:c r="O119" s="25" t="str">
        <x:v>2019-11-01_02-279136.pdf</x:v>
      </x:c>
      <x:c r="P119" s="28" t="n">
        <x:v>1</x:v>
      </x:c>
      <x:c r="Q119" s="29" t="str">
        <x:v>Ingen amorteringsrad redovisas på avin.</x:v>
      </x:c>
    </x:row>
    <x:row r="120">
      <x:c r="A120" s="24" t="n">
        <x:v>43800</x:v>
      </x:c>
      <x:c r="B120" s="25" t="str">
        <x:v>Bolån</x:v>
      </x:c>
      <x:c r="C120" s="25" t="str">
        <x:v>Stadshypotek AB</x:v>
      </x:c>
      <x:c r="D120" s="25" t="str">
        <x:v>02-279136</x:v>
      </x:c>
      <x:c r="E120" s="25" t="str">
        <x:v>20543</x:v>
      </x:c>
      <x:c r="F120" s="29" t="str">
        <x:v>HSB Brf Siljan i Stockholm, lgh 178</x:v>
      </x:c>
      <x:c r="G120" s="26" t="n">
        <x:v>160000</x:v>
      </x:c>
      <x:c r="H120" s="27" t="n">
        <x:v>0.0225</x:v>
      </x:c>
      <x:c r="I120" s="24" t="n">
        <x:v>43770</x:v>
      </x:c>
      <x:c r="J120" s="28" t="n">
        <x:v>30</x:v>
      </x:c>
      <x:c r="K120" s="26" t="n">
        <x:v>300</x:v>
      </x:c>
      <x:c r="L120" s="26" t="n">
        <x:v>0</x:v>
      </x:c>
      <x:c r="M120" s="26" t="n">
        <x:v>0</x:v>
      </x:c>
      <x:c r="N120" s="26" t="n">
        <x:f>SUM(K120:M120)</x:f>
        <x:v>300</x:v>
      </x:c>
      <x:c r="O120" s="25" t="str">
        <x:v>2019-12-01_02-279136.pdf</x:v>
      </x:c>
      <x:c r="P120" s="28" t="n">
        <x:v>1</x:v>
      </x:c>
      <x:c r="Q120" s="29" t="str">
        <x:v>Ingen amorteringsrad redovisas på avin.</x:v>
      </x:c>
    </x:row>
    <x:row r="121">
      <x:c r="A121" s="24" t="n">
        <x:v>43831</x:v>
      </x:c>
      <x:c r="B121" s="25" t="str">
        <x:v>Bolån</x:v>
      </x:c>
      <x:c r="C121" s="25" t="str">
        <x:v>Stadshypotek AB</x:v>
      </x:c>
      <x:c r="D121" s="25" t="str">
        <x:v>02-279136</x:v>
      </x:c>
      <x:c r="E121" s="25" t="str">
        <x:v>20543</x:v>
      </x:c>
      <x:c r="F121" s="29" t="str">
        <x:v>HSB Brf Siljan i Stockholm, lgh 178</x:v>
      </x:c>
      <x:c r="G121" s="26" t="n">
        <x:v>160000</x:v>
      </x:c>
      <x:c r="H121" s="27" t="n">
        <x:v>0.0225</x:v>
      </x:c>
      <x:c r="I121" s="24" t="n">
        <x:v>43800</x:v>
      </x:c>
      <x:c r="J121" s="28" t="n">
        <x:v>30</x:v>
      </x:c>
      <x:c r="K121" s="26" t="n">
        <x:v>300</x:v>
      </x:c>
      <x:c r="L121" s="26" t="n">
        <x:v>0</x:v>
      </x:c>
      <x:c r="M121" s="26" t="n">
        <x:v>0</x:v>
      </x:c>
      <x:c r="N121" s="26" t="n">
        <x:f>SUM(K121:M121)</x:f>
        <x:v>300</x:v>
      </x:c>
      <x:c r="O121" s="25" t="str">
        <x:v>2020-01-01_02-279136.pdf</x:v>
      </x:c>
      <x:c r="P121" s="28" t="n">
        <x:v>1</x:v>
      </x:c>
      <x:c r="Q121" s="29" t="str">
        <x:v>Ingen amorteringsrad redovisas på avin.</x:v>
      </x:c>
    </x:row>
    <x:row r="122">
      <x:c r="A122" s="24" t="n">
        <x:v>43862</x:v>
      </x:c>
      <x:c r="B122" s="25" t="str">
        <x:v>Bolån</x:v>
      </x:c>
      <x:c r="C122" s="25" t="str">
        <x:v>Stadshypotek AB</x:v>
      </x:c>
      <x:c r="D122" s="25" t="str">
        <x:v>02-279136</x:v>
      </x:c>
      <x:c r="E122" s="25" t="str">
        <x:v>20543</x:v>
      </x:c>
      <x:c r="F122" s="29" t="str">
        <x:v>HSB Brf Siljan i Stockholm, lgh 178</x:v>
      </x:c>
      <x:c r="G122" s="26" t="n">
        <x:v>160000</x:v>
      </x:c>
      <x:c r="H122" s="27" t="n">
        <x:v>0.0225</x:v>
      </x:c>
      <x:c r="I122" s="24" t="n">
        <x:v>43831</x:v>
      </x:c>
      <x:c r="J122" s="28" t="n">
        <x:v>30</x:v>
      </x:c>
      <x:c r="K122" s="26" t="n">
        <x:v>300</x:v>
      </x:c>
      <x:c r="L122" s="26" t="n">
        <x:v>0</x:v>
      </x:c>
      <x:c r="M122" s="26" t="n">
        <x:v>0</x:v>
      </x:c>
      <x:c r="N122" s="26" t="n">
        <x:f>SUM(K122:M122)</x:f>
        <x:v>300</x:v>
      </x:c>
      <x:c r="O122" s="25" t="str">
        <x:v>2020-02-01_02-279136.pdf</x:v>
      </x:c>
      <x:c r="P122" s="28" t="n">
        <x:v>1</x:v>
      </x:c>
      <x:c r="Q122" s="29" t="str">
        <x:v>Ingen amorteringsrad redovisas på avin.</x:v>
      </x:c>
    </x:row>
    <x:row r="123">
      <x:c r="A123" s="24" t="n">
        <x:v>43891</x:v>
      </x:c>
      <x:c r="B123" s="25" t="str">
        <x:v>Bolån</x:v>
      </x:c>
      <x:c r="C123" s="25" t="str">
        <x:v>Stadshypotek AB</x:v>
      </x:c>
      <x:c r="D123" s="25" t="str">
        <x:v>02-279136</x:v>
      </x:c>
      <x:c r="E123" s="25" t="str">
        <x:v>20543</x:v>
      </x:c>
      <x:c r="F123" s="29" t="str">
        <x:v>HSB Brf Siljan i Stockholm, lgh 178</x:v>
      </x:c>
      <x:c r="G123" s="26" t="n">
        <x:v>160000</x:v>
      </x:c>
      <x:c r="H123" s="27" t="n">
        <x:v>0.0225</x:v>
      </x:c>
      <x:c r="I123" s="24" t="n">
        <x:v>43862</x:v>
      </x:c>
      <x:c r="J123" s="28" t="n">
        <x:v>30</x:v>
      </x:c>
      <x:c r="K123" s="26" t="n">
        <x:v>300</x:v>
      </x:c>
      <x:c r="L123" s="26" t="n">
        <x:v>0</x:v>
      </x:c>
      <x:c r="M123" s="26" t="n">
        <x:v>0</x:v>
      </x:c>
      <x:c r="N123" s="26" t="n">
        <x:f>SUM(K123:M123)</x:f>
        <x:v>300</x:v>
      </x:c>
      <x:c r="O123" s="25" t="str">
        <x:v>2020-03-01_02-279136.pdf</x:v>
      </x:c>
      <x:c r="P123" s="28" t="n">
        <x:v>1</x:v>
      </x:c>
      <x:c r="Q123" s="29" t="str">
        <x:v>Ingen amorteringsrad redovisas på avin.</x:v>
      </x:c>
    </x:row>
    <x:row r="124">
      <x:c r="A124" s="24" t="n">
        <x:v>43922</x:v>
      </x:c>
      <x:c r="B124" s="25" t="str">
        <x:v>Bolån</x:v>
      </x:c>
      <x:c r="C124" s="25" t="str">
        <x:v>Stadshypotek AB</x:v>
      </x:c>
      <x:c r="D124" s="25" t="str">
        <x:v>02-279136</x:v>
      </x:c>
      <x:c r="E124" s="25" t="str">
        <x:v>20543</x:v>
      </x:c>
      <x:c r="F124" s="29" t="str">
        <x:v>HSB Brf Siljan i Stockholm, lgh 178</x:v>
      </x:c>
      <x:c r="G124" s="26" t="n">
        <x:v>160000</x:v>
      </x:c>
      <x:c r="H124" s="27" t="n">
        <x:v>0.025</x:v>
      </x:c>
      <x:c r="I124" s="24" t="n">
        <x:v>43891</x:v>
      </x:c>
      <x:c r="J124" s="28" t="n">
        <x:v>30</x:v>
      </x:c>
      <x:c r="K124" s="26" t="n">
        <x:v>333</x:v>
      </x:c>
      <x:c r="L124" s="26" t="n">
        <x:v>0</x:v>
      </x:c>
      <x:c r="M124" s="26" t="n">
        <x:v>0</x:v>
      </x:c>
      <x:c r="N124" s="26" t="n">
        <x:f>SUM(K124:M124)</x:f>
        <x:v>333</x:v>
      </x:c>
      <x:c r="O124" s="25" t="str">
        <x:v>2020-04-01_02-279136.pdf</x:v>
      </x:c>
      <x:c r="P124" s="28" t="n">
        <x:v>1</x:v>
      </x:c>
      <x:c r="Q124" s="29" t="str">
        <x:v>Ingen amorteringsrad redovisas på avin.</x:v>
      </x:c>
    </x:row>
    <x:row r="125">
      <x:c r="A125" s="24" t="n">
        <x:v>43952</x:v>
      </x:c>
      <x:c r="B125" s="25" t="str">
        <x:v>Bolån</x:v>
      </x:c>
      <x:c r="C125" s="25" t="str">
        <x:v>Stadshypotek AB</x:v>
      </x:c>
      <x:c r="D125" s="25" t="str">
        <x:v>02-279136</x:v>
      </x:c>
      <x:c r="E125" s="25" t="str">
        <x:v>20543</x:v>
      </x:c>
      <x:c r="F125" s="29" t="str">
        <x:v>HSB Brf Siljan i Stockholm, lgh 178</x:v>
      </x:c>
      <x:c r="G125" s="26" t="n">
        <x:v>160000</x:v>
      </x:c>
      <x:c r="H125" s="27" t="n">
        <x:v>0.025</x:v>
      </x:c>
      <x:c r="I125" s="24" t="n">
        <x:v>43922</x:v>
      </x:c>
      <x:c r="J125" s="28" t="n">
        <x:v>30</x:v>
      </x:c>
      <x:c r="K125" s="26" t="n">
        <x:v>333</x:v>
      </x:c>
      <x:c r="L125" s="26" t="n">
        <x:v>0</x:v>
      </x:c>
      <x:c r="M125" s="26" t="n">
        <x:v>0</x:v>
      </x:c>
      <x:c r="N125" s="26" t="n">
        <x:f>SUM(K125:M125)</x:f>
        <x:v>333</x:v>
      </x:c>
      <x:c r="O125" s="25" t="str">
        <x:v>2020-05-01_02-279136.pdf</x:v>
      </x:c>
      <x:c r="P125" s="28" t="n">
        <x:v>1</x:v>
      </x:c>
      <x:c r="Q125" s="29" t="str">
        <x:v>Ingen amorteringsrad redovisas på avin.</x:v>
      </x:c>
    </x:row>
    <x:row r="126">
      <x:c r="A126" s="24" t="n">
        <x:v>43983</x:v>
      </x:c>
      <x:c r="B126" s="25" t="str">
        <x:v>Bolån</x:v>
      </x:c>
      <x:c r="C126" s="25" t="str">
        <x:v>Stadshypotek AB</x:v>
      </x:c>
      <x:c r="D126" s="25" t="str">
        <x:v>02-279136</x:v>
      </x:c>
      <x:c r="E126" s="25" t="str">
        <x:v>20543</x:v>
      </x:c>
      <x:c r="F126" s="29" t="str">
        <x:v>HSB Brf Siljan i Stockholm, lgh 178</x:v>
      </x:c>
      <x:c r="G126" s="26" t="n">
        <x:v>160000</x:v>
      </x:c>
      <x:c r="H126" s="27" t="n">
        <x:v>0.025</x:v>
      </x:c>
      <x:c r="I126" s="24" t="n">
        <x:v>43952</x:v>
      </x:c>
      <x:c r="J126" s="28" t="n">
        <x:v>30</x:v>
      </x:c>
      <x:c r="K126" s="26" t="n">
        <x:v>333</x:v>
      </x:c>
      <x:c r="L126" s="26" t="n">
        <x:v>0</x:v>
      </x:c>
      <x:c r="M126" s="26" t="n">
        <x:v>0</x:v>
      </x:c>
      <x:c r="N126" s="26" t="n">
        <x:f>SUM(K126:M126)</x:f>
        <x:v>333</x:v>
      </x:c>
      <x:c r="O126" s="25" t="str">
        <x:v>2020-06-01_02-279136.pdf</x:v>
      </x:c>
      <x:c r="P126" s="28" t="n">
        <x:v>1</x:v>
      </x:c>
      <x:c r="Q126" s="29" t="str">
        <x:v>Ingen amorteringsrad redovisas på avin.</x:v>
      </x:c>
    </x:row>
    <x:row r="127">
      <x:c r="A127" s="24" t="n">
        <x:v>44013</x:v>
      </x:c>
      <x:c r="B127" s="25" t="str">
        <x:v>Bolån</x:v>
      </x:c>
      <x:c r="C127" s="25" t="str">
        <x:v>Stadshypotek AB</x:v>
      </x:c>
      <x:c r="D127" s="25" t="str">
        <x:v>02-279136</x:v>
      </x:c>
      <x:c r="E127" s="25" t="str">
        <x:v>20543</x:v>
      </x:c>
      <x:c r="F127" s="29" t="str">
        <x:v>HSB Brf Siljan i Stockholm, lgh 178</x:v>
      </x:c>
      <x:c r="G127" s="26" t="n">
        <x:v>160000</x:v>
      </x:c>
      <x:c r="H127" s="27" t="n">
        <x:v>0.025</x:v>
      </x:c>
      <x:c r="I127" s="24" t="n">
        <x:v>43983</x:v>
      </x:c>
      <x:c r="J127" s="28" t="n">
        <x:v>30</x:v>
      </x:c>
      <x:c r="K127" s="26" t="n">
        <x:v>333</x:v>
      </x:c>
      <x:c r="L127" s="26" t="n">
        <x:v>0</x:v>
      </x:c>
      <x:c r="M127" s="26" t="n">
        <x:v>0</x:v>
      </x:c>
      <x:c r="N127" s="26" t="n">
        <x:f>SUM(K127:M127)</x:f>
        <x:v>333</x:v>
      </x:c>
      <x:c r="O127" s="25" t="str">
        <x:v>2020-07-01_02-279136.pdf</x:v>
      </x:c>
      <x:c r="P127" s="28" t="n">
        <x:v>1</x:v>
      </x:c>
      <x:c r="Q127" s="29" t="str">
        <x:v>Ingen amorteringsrad redovisas på avin.</x:v>
      </x:c>
    </x:row>
    <x:row r="128">
      <x:c r="A128" s="24" t="n">
        <x:v>44044</x:v>
      </x:c>
      <x:c r="B128" s="25" t="str">
        <x:v>Bolån</x:v>
      </x:c>
      <x:c r="C128" s="25" t="str">
        <x:v>Stadshypotek AB</x:v>
      </x:c>
      <x:c r="D128" s="25" t="str">
        <x:v>02-279136</x:v>
      </x:c>
      <x:c r="E128" s="25" t="str">
        <x:v>20543</x:v>
      </x:c>
      <x:c r="F128" s="29" t="str">
        <x:v>HSB Brf Siljan i Stockholm, lgh 178</x:v>
      </x:c>
      <x:c r="G128" s="26" t="n">
        <x:v>160000</x:v>
      </x:c>
      <x:c r="H128" s="27" t="n">
        <x:v>0.025</x:v>
      </x:c>
      <x:c r="I128" s="24" t="n">
        <x:v>44013</x:v>
      </x:c>
      <x:c r="J128" s="28" t="n">
        <x:v>30</x:v>
      </x:c>
      <x:c r="K128" s="26" t="n">
        <x:v>333</x:v>
      </x:c>
      <x:c r="L128" s="26" t="n">
        <x:v>0</x:v>
      </x:c>
      <x:c r="M128" s="26" t="n">
        <x:v>0</x:v>
      </x:c>
      <x:c r="N128" s="26" t="n">
        <x:f>SUM(K128:M128)</x:f>
        <x:v>333</x:v>
      </x:c>
      <x:c r="O128" s="25" t="str">
        <x:v>2020-08-01_02-279136.pdf</x:v>
      </x:c>
      <x:c r="P128" s="28" t="n">
        <x:v>1</x:v>
      </x:c>
      <x:c r="Q128" s="29" t="str">
        <x:v>Ingen amorteringsrad redovisas på avin.</x:v>
      </x:c>
    </x:row>
    <x:row r="129">
      <x:c r="A129" s="24" t="n">
        <x:v>44075</x:v>
      </x:c>
      <x:c r="B129" s="25" t="str">
        <x:v>Bolån</x:v>
      </x:c>
      <x:c r="C129" s="25" t="str">
        <x:v>Stadshypotek AB</x:v>
      </x:c>
      <x:c r="D129" s="25" t="str">
        <x:v>02-279136</x:v>
      </x:c>
      <x:c r="E129" s="25" t="str">
        <x:v>20543</x:v>
      </x:c>
      <x:c r="F129" s="29" t="str">
        <x:v>HSB Brf Siljan i Stockholm, lgh 178</x:v>
      </x:c>
      <x:c r="G129" s="26" t="n">
        <x:v>160000</x:v>
      </x:c>
      <x:c r="H129" s="27" t="n">
        <x:v>0.025</x:v>
      </x:c>
      <x:c r="I129" s="24" t="n">
        <x:v>44044</x:v>
      </x:c>
      <x:c r="J129" s="28" t="n">
        <x:v>30</x:v>
      </x:c>
      <x:c r="K129" s="26" t="n">
        <x:v>333</x:v>
      </x:c>
      <x:c r="L129" s="26" t="n">
        <x:v>0</x:v>
      </x:c>
      <x:c r="M129" s="26" t="n">
        <x:v>0</x:v>
      </x:c>
      <x:c r="N129" s="26" t="n">
        <x:f>SUM(K129:M129)</x:f>
        <x:v>333</x:v>
      </x:c>
      <x:c r="O129" s="25" t="str">
        <x:v>2020-09-01_02-279136.pdf</x:v>
      </x:c>
      <x:c r="P129" s="28" t="n">
        <x:v>1</x:v>
      </x:c>
      <x:c r="Q129" s="29" t="str">
        <x:v>Ingen amorteringsrad redovisas på avin.</x:v>
      </x:c>
    </x:row>
    <x:row r="130">
      <x:c r="A130" s="24" t="n">
        <x:v>44105</x:v>
      </x:c>
      <x:c r="B130" s="25" t="str">
        <x:v>Bolån</x:v>
      </x:c>
      <x:c r="C130" s="25" t="str">
        <x:v>Stadshypotek AB</x:v>
      </x:c>
      <x:c r="D130" s="25" t="str">
        <x:v>02-279136</x:v>
      </x:c>
      <x:c r="E130" s="25" t="str">
        <x:v>20543</x:v>
      </x:c>
      <x:c r="F130" s="29" t="str">
        <x:v>HSB Brf Siljan i Stockholm, lgh 178</x:v>
      </x:c>
      <x:c r="G130" s="26" t="n">
        <x:v>160000</x:v>
      </x:c>
      <x:c r="H130" s="27" t="n">
        <x:v>0.024300000000000002</x:v>
      </x:c>
      <x:c r="I130" s="24" t="n">
        <x:v>44075</x:v>
      </x:c>
      <x:c r="J130" s="28" t="n">
        <x:v>30</x:v>
      </x:c>
      <x:c r="K130" s="26" t="n">
        <x:v>324</x:v>
      </x:c>
      <x:c r="L130" s="26" t="n">
        <x:v>0</x:v>
      </x:c>
      <x:c r="M130" s="26" t="n">
        <x:v>0</x:v>
      </x:c>
      <x:c r="N130" s="26" t="n">
        <x:f>SUM(K130:M130)</x:f>
        <x:v>324</x:v>
      </x:c>
      <x:c r="O130" s="25" t="str">
        <x:v>2020-10-01_02-279136.pdf</x:v>
      </x:c>
      <x:c r="P130" s="28" t="n">
        <x:v>1</x:v>
      </x:c>
      <x:c r="Q130" s="29" t="str">
        <x:v>Ingen amorteringsrad redovisas på avin.</x:v>
      </x:c>
    </x:row>
    <x:row r="131">
      <x:c r="A131" s="24" t="n">
        <x:v>44136</x:v>
      </x:c>
      <x:c r="B131" s="25" t="str">
        <x:v>Bolån</x:v>
      </x:c>
      <x:c r="C131" s="25" t="str">
        <x:v>Stadshypotek AB</x:v>
      </x:c>
      <x:c r="D131" s="25" t="str">
        <x:v>02-279136</x:v>
      </x:c>
      <x:c r="E131" s="25" t="str">
        <x:v>20543</x:v>
      </x:c>
      <x:c r="F131" s="29" t="str">
        <x:v>HSB Brf Siljan i Stockholm, lgh 178</x:v>
      </x:c>
      <x:c r="G131" s="26" t="n">
        <x:v>160000</x:v>
      </x:c>
      <x:c r="H131" s="27" t="n">
        <x:v>0.024300000000000002</x:v>
      </x:c>
      <x:c r="I131" s="24" t="n">
        <x:v>44105</x:v>
      </x:c>
      <x:c r="J131" s="28" t="n">
        <x:v>30</x:v>
      </x:c>
      <x:c r="K131" s="26" t="n">
        <x:v>324</x:v>
      </x:c>
      <x:c r="L131" s="26" t="n">
        <x:v>0</x:v>
      </x:c>
      <x:c r="M131" s="26" t="n">
        <x:v>0</x:v>
      </x:c>
      <x:c r="N131" s="26" t="n">
        <x:f>SUM(K131:M131)</x:f>
        <x:v>324</x:v>
      </x:c>
      <x:c r="O131" s="25" t="str">
        <x:v>2020-11-01_02-279136.pdf</x:v>
      </x:c>
      <x:c r="P131" s="28" t="n">
        <x:v>1</x:v>
      </x:c>
      <x:c r="Q131" s="29" t="str">
        <x:v>Ingen amorteringsrad redovisas på avin.</x:v>
      </x:c>
    </x:row>
    <x:row r="132">
      <x:c r="A132" s="24" t="n">
        <x:v>44166</x:v>
      </x:c>
      <x:c r="B132" s="25" t="str">
        <x:v>Bolån</x:v>
      </x:c>
      <x:c r="C132" s="25" t="str">
        <x:v>Stadshypotek AB</x:v>
      </x:c>
      <x:c r="D132" s="25" t="str">
        <x:v>02-279136</x:v>
      </x:c>
      <x:c r="E132" s="25" t="str">
        <x:v>20543</x:v>
      </x:c>
      <x:c r="F132" s="29" t="str">
        <x:v>HSB Brf Siljan i Stockholm, lgh 178</x:v>
      </x:c>
      <x:c r="G132" s="26" t="n">
        <x:v>160000</x:v>
      </x:c>
      <x:c r="H132" s="27" t="n">
        <x:v>0.024300000000000002</x:v>
      </x:c>
      <x:c r="I132" s="24" t="n">
        <x:v>44136</x:v>
      </x:c>
      <x:c r="J132" s="28" t="n">
        <x:v>30</x:v>
      </x:c>
      <x:c r="K132" s="26" t="n">
        <x:v>324</x:v>
      </x:c>
      <x:c r="L132" s="26" t="n">
        <x:v>0</x:v>
      </x:c>
      <x:c r="M132" s="26" t="n">
        <x:v>0</x:v>
      </x:c>
      <x:c r="N132" s="26" t="n">
        <x:f>SUM(K132:M132)</x:f>
        <x:v>324</x:v>
      </x:c>
      <x:c r="O132" s="25" t="str">
        <x:v>2020-12-01_02-279136.pdf</x:v>
      </x:c>
      <x:c r="P132" s="28" t="n">
        <x:v>1</x:v>
      </x:c>
      <x:c r="Q132" s="29" t="str">
        <x:v>Ingen amorteringsrad redovisas på avin.</x:v>
      </x:c>
    </x:row>
    <x:row r="133">
      <x:c r="A133" s="24" t="n">
        <x:v>44197</x:v>
      </x:c>
      <x:c r="B133" s="25" t="str">
        <x:v>Bolån</x:v>
      </x:c>
      <x:c r="C133" s="25" t="str">
        <x:v>Stadshypotek AB</x:v>
      </x:c>
      <x:c r="D133" s="25" t="str">
        <x:v>02-279136</x:v>
      </x:c>
      <x:c r="E133" s="25" t="str">
        <x:v>20543</x:v>
      </x:c>
      <x:c r="F133" s="29" t="str">
        <x:v>HSB Brf Siljan i Stockholm, lgh 178</x:v>
      </x:c>
      <x:c r="G133" s="26" t="n">
        <x:v>160000</x:v>
      </x:c>
      <x:c r="H133" s="27" t="n">
        <x:v>0.023399999999999997</x:v>
      </x:c>
      <x:c r="I133" s="24" t="n">
        <x:v>44166</x:v>
      </x:c>
      <x:c r="J133" s="28" t="n">
        <x:v>30</x:v>
      </x:c>
      <x:c r="K133" s="26" t="n">
        <x:v>312</x:v>
      </x:c>
      <x:c r="L133" s="26" t="n">
        <x:v>0</x:v>
      </x:c>
      <x:c r="M133" s="26" t="n">
        <x:v>0</x:v>
      </x:c>
      <x:c r="N133" s="26" t="n">
        <x:f>SUM(K133:M133)</x:f>
        <x:v>312</x:v>
      </x:c>
      <x:c r="O133" s="25" t="str">
        <x:v>2021-01-01_02-279136.pdf</x:v>
      </x:c>
      <x:c r="P133" s="28" t="n">
        <x:v>1</x:v>
      </x:c>
      <x:c r="Q133" s="29" t="str">
        <x:v>Ingen amorteringsrad redovisas på avin.</x:v>
      </x:c>
    </x:row>
    <x:row r="134">
      <x:c r="A134" s="24" t="n">
        <x:v>44228</x:v>
      </x:c>
      <x:c r="B134" s="25" t="str">
        <x:v>Bolån</x:v>
      </x:c>
      <x:c r="C134" s="25" t="str">
        <x:v>Stadshypotek AB</x:v>
      </x:c>
      <x:c r="D134" s="25" t="str">
        <x:v>02-279136</x:v>
      </x:c>
      <x:c r="E134" s="25" t="str">
        <x:v>20543</x:v>
      </x:c>
      <x:c r="F134" s="29" t="str">
        <x:v>HSB Brf Siljan i Stockholm, lgh 178</x:v>
      </x:c>
      <x:c r="G134" s="26" t="n">
        <x:v>160000</x:v>
      </x:c>
      <x:c r="H134" s="27" t="n">
        <x:v>0.023399999999999997</x:v>
      </x:c>
      <x:c r="I134" s="24" t="n">
        <x:v>44197</x:v>
      </x:c>
      <x:c r="J134" s="28" t="n">
        <x:v>30</x:v>
      </x:c>
      <x:c r="K134" s="26" t="n">
        <x:v>312</x:v>
      </x:c>
      <x:c r="L134" s="26" t="n">
        <x:v>0</x:v>
      </x:c>
      <x:c r="M134" s="26" t="n">
        <x:v>0</x:v>
      </x:c>
      <x:c r="N134" s="26" t="n">
        <x:f>SUM(K134:M134)</x:f>
        <x:v>312</x:v>
      </x:c>
      <x:c r="O134" s="25" t="str">
        <x:v>2021-02-01_02-279136.pdf</x:v>
      </x:c>
      <x:c r="P134" s="28" t="n">
        <x:v>1</x:v>
      </x:c>
      <x:c r="Q134" s="29" t="str">
        <x:v>Ingen amorteringsrad redovisas på avin.</x:v>
      </x:c>
    </x:row>
    <x:row r="135">
      <x:c r="A135" s="24" t="n">
        <x:v>44256</x:v>
      </x:c>
      <x:c r="B135" s="25" t="str">
        <x:v>Bolån</x:v>
      </x:c>
      <x:c r="C135" s="25" t="str">
        <x:v>Stadshypotek AB</x:v>
      </x:c>
      <x:c r="D135" s="25" t="str">
        <x:v>02-279136</x:v>
      </x:c>
      <x:c r="E135" s="25" t="str">
        <x:v>20543</x:v>
      </x:c>
      <x:c r="F135" s="29" t="str">
        <x:v>HSB Brf Siljan i Stockholm, lgh 178</x:v>
      </x:c>
      <x:c r="G135" s="26" t="n">
        <x:v>160000</x:v>
      </x:c>
      <x:c r="H135" s="27" t="n">
        <x:v>0.023399999999999997</x:v>
      </x:c>
      <x:c r="I135" s="24" t="n">
        <x:v>44228</x:v>
      </x:c>
      <x:c r="J135" s="28" t="n">
        <x:v>30</x:v>
      </x:c>
      <x:c r="K135" s="26" t="n">
        <x:v>312</x:v>
      </x:c>
      <x:c r="L135" s="26" t="n">
        <x:v>0</x:v>
      </x:c>
      <x:c r="M135" s="26" t="n">
        <x:v>0</x:v>
      </x:c>
      <x:c r="N135" s="26" t="n">
        <x:f>SUM(K135:M135)</x:f>
        <x:v>312</x:v>
      </x:c>
      <x:c r="O135" s="25" t="str">
        <x:v>2021-03-01_02-279136.pdf</x:v>
      </x:c>
      <x:c r="P135" s="28" t="n">
        <x:v>1</x:v>
      </x:c>
      <x:c r="Q135" s="29" t="str">
        <x:v>Ingen amorteringsrad redovisas på avin.</x:v>
      </x:c>
    </x:row>
    <x:row r="136">
      <x:c r="A136" s="24" t="n">
        <x:v>44287</x:v>
      </x:c>
      <x:c r="B136" s="25" t="str">
        <x:v>Bolån</x:v>
      </x:c>
      <x:c r="C136" s="25" t="str">
        <x:v>Stadshypotek AB</x:v>
      </x:c>
      <x:c r="D136" s="25" t="str">
        <x:v>02-279136</x:v>
      </x:c>
      <x:c r="E136" s="25" t="str">
        <x:v>20543</x:v>
      </x:c>
      <x:c r="F136" s="29" t="str">
        <x:v>HSB Brf Siljan i Stockholm, lgh 178</x:v>
      </x:c>
      <x:c r="G136" s="26" t="n">
        <x:v>160000</x:v>
      </x:c>
      <x:c r="H136" s="27" t="n">
        <x:v>0.023399999999999997</x:v>
      </x:c>
      <x:c r="I136" s="24" t="n">
        <x:v>44256</x:v>
      </x:c>
      <x:c r="J136" s="28" t="n">
        <x:v>30</x:v>
      </x:c>
      <x:c r="K136" s="26" t="n">
        <x:v>312</x:v>
      </x:c>
      <x:c r="L136" s="26" t="n">
        <x:v>0</x:v>
      </x:c>
      <x:c r="M136" s="26" t="n">
        <x:v>0</x:v>
      </x:c>
      <x:c r="N136" s="26" t="n">
        <x:f>SUM(K136:M136)</x:f>
        <x:v>312</x:v>
      </x:c>
      <x:c r="O136" s="25" t="str">
        <x:v>2021-04-01_02-279136.pdf</x:v>
      </x:c>
      <x:c r="P136" s="28" t="n">
        <x:v>1</x:v>
      </x:c>
      <x:c r="Q136" s="29" t="str">
        <x:v>Ingen amorteringsrad redovisas på avin.</x:v>
      </x:c>
    </x:row>
    <x:row r="137">
      <x:c r="A137" s="24" t="n">
        <x:v>44317</x:v>
      </x:c>
      <x:c r="B137" s="25" t="str">
        <x:v>Bolån</x:v>
      </x:c>
      <x:c r="C137" s="25" t="str">
        <x:v>Stadshypotek AB</x:v>
      </x:c>
      <x:c r="D137" s="25" t="str">
        <x:v>02-279136</x:v>
      </x:c>
      <x:c r="E137" s="25" t="str">
        <x:v>20543</x:v>
      </x:c>
      <x:c r="F137" s="29" t="str">
        <x:v>HSB Brf Siljan i Stockholm, lgh 178</x:v>
      </x:c>
      <x:c r="G137" s="26" t="n">
        <x:v>160000</x:v>
      </x:c>
      <x:c r="H137" s="27" t="n">
        <x:v>0.023399999999999997</x:v>
      </x:c>
      <x:c r="I137" s="24" t="n">
        <x:v>44287</x:v>
      </x:c>
      <x:c r="J137" s="28" t="n">
        <x:v>30</x:v>
      </x:c>
      <x:c r="K137" s="26" t="n">
        <x:v>312</x:v>
      </x:c>
      <x:c r="L137" s="26" t="n">
        <x:v>0</x:v>
      </x:c>
      <x:c r="M137" s="26" t="n">
        <x:v>0</x:v>
      </x:c>
      <x:c r="N137" s="26" t="n">
        <x:f>SUM(K137:M137)</x:f>
        <x:v>312</x:v>
      </x:c>
      <x:c r="O137" s="25" t="str">
        <x:v>2021-05-01_02-279136.pdf</x:v>
      </x:c>
      <x:c r="P137" s="28" t="n">
        <x:v>1</x:v>
      </x:c>
      <x:c r="Q137" s="29" t="str">
        <x:v>Ingen amorteringsrad redovisas på avin.</x:v>
      </x:c>
    </x:row>
    <x:row r="138">
      <x:c r="A138" s="24" t="n">
        <x:v>44348</x:v>
      </x:c>
      <x:c r="B138" s="25" t="str">
        <x:v>Bolån</x:v>
      </x:c>
      <x:c r="C138" s="25" t="str">
        <x:v>Stadshypotek AB</x:v>
      </x:c>
      <x:c r="D138" s="25" t="str">
        <x:v>02-279136</x:v>
      </x:c>
      <x:c r="E138" s="25" t="str">
        <x:v>20543</x:v>
      </x:c>
      <x:c r="F138" s="29" t="str">
        <x:v>HSB Brf Siljan i Stockholm, lgh 178</x:v>
      </x:c>
      <x:c r="G138" s="26" t="n">
        <x:v>160000</x:v>
      </x:c>
      <x:c r="H138" s="27" t="n">
        <x:v>0.023399999999999997</x:v>
      </x:c>
      <x:c r="I138" s="24" t="n">
        <x:v>44317</x:v>
      </x:c>
      <x:c r="J138" s="28" t="n">
        <x:v>30</x:v>
      </x:c>
      <x:c r="K138" s="26" t="n">
        <x:v>312</x:v>
      </x:c>
      <x:c r="L138" s="26" t="n">
        <x:v>0</x:v>
      </x:c>
      <x:c r="M138" s="26" t="n">
        <x:v>0</x:v>
      </x:c>
      <x:c r="N138" s="26" t="n">
        <x:f>SUM(K138:M138)</x:f>
        <x:v>312</x:v>
      </x:c>
      <x:c r="O138" s="25" t="str">
        <x:v>2021-06-01_02-279136.pdf</x:v>
      </x:c>
      <x:c r="P138" s="28" t="n">
        <x:v>1</x:v>
      </x:c>
      <x:c r="Q138" s="29" t="str">
        <x:v>Ingen amorteringsrad redovisas på avin.</x:v>
      </x:c>
    </x:row>
    <x:row r="139">
      <x:c r="A139" s="24" t="n">
        <x:v>44378</x:v>
      </x:c>
      <x:c r="B139" s="25" t="str">
        <x:v>Bolån</x:v>
      </x:c>
      <x:c r="C139" s="25" t="str">
        <x:v>Stadshypotek AB</x:v>
      </x:c>
      <x:c r="D139" s="25" t="str">
        <x:v>02-279136</x:v>
      </x:c>
      <x:c r="E139" s="25" t="str">
        <x:v>20543</x:v>
      </x:c>
      <x:c r="F139" s="29" t="str">
        <x:v>HSB Brf Siljan i Stockholm, lgh 178</x:v>
      </x:c>
      <x:c r="G139" s="26" t="n">
        <x:v>160000</x:v>
      </x:c>
      <x:c r="H139" s="27" t="n">
        <x:v>0.023399999999999997</x:v>
      </x:c>
      <x:c r="I139" s="24" t="n">
        <x:v>44348</x:v>
      </x:c>
      <x:c r="J139" s="28" t="n">
        <x:v>30</x:v>
      </x:c>
      <x:c r="K139" s="26" t="n">
        <x:v>312</x:v>
      </x:c>
      <x:c r="L139" s="26" t="n">
        <x:v>0</x:v>
      </x:c>
      <x:c r="M139" s="26" t="n">
        <x:v>0</x:v>
      </x:c>
      <x:c r="N139" s="26" t="n">
        <x:f>SUM(K139:M139)</x:f>
        <x:v>312</x:v>
      </x:c>
      <x:c r="O139" s="25" t="str">
        <x:v>2021-07-01_02-279136.pdf</x:v>
      </x:c>
      <x:c r="P139" s="28" t="n">
        <x:v>1</x:v>
      </x:c>
      <x:c r="Q139" s="29" t="str">
        <x:v>Ingen amorteringsrad redovisas på avin.</x:v>
      </x:c>
    </x:row>
    <x:row r="140">
      <x:c r="A140" s="24" t="n">
        <x:v>44409</x:v>
      </x:c>
      <x:c r="B140" s="25" t="str">
        <x:v>Bolån</x:v>
      </x:c>
      <x:c r="C140" s="25" t="str">
        <x:v>Stadshypotek AB</x:v>
      </x:c>
      <x:c r="D140" s="25" t="str">
        <x:v>02-279136</x:v>
      </x:c>
      <x:c r="E140" s="25" t="str">
        <x:v>20543</x:v>
      </x:c>
      <x:c r="F140" s="29" t="str">
        <x:v>HSB Brf Siljan i Stockholm, lgh 178</x:v>
      </x:c>
      <x:c r="G140" s="26" t="n">
        <x:v>160000</x:v>
      </x:c>
      <x:c r="H140" s="27" t="n">
        <x:v>0.023399999999999997</x:v>
      </x:c>
      <x:c r="I140" s="24" t="n">
        <x:v>44378</x:v>
      </x:c>
      <x:c r="J140" s="28" t="n">
        <x:v>30</x:v>
      </x:c>
      <x:c r="K140" s="26" t="n">
        <x:v>312</x:v>
      </x:c>
      <x:c r="L140" s="26" t="n">
        <x:v>0</x:v>
      </x:c>
      <x:c r="M140" s="26" t="n">
        <x:v>0</x:v>
      </x:c>
      <x:c r="N140" s="26" t="n">
        <x:f>SUM(K140:M140)</x:f>
        <x:v>312</x:v>
      </x:c>
      <x:c r="O140" s="25" t="str">
        <x:v>2021-08-01_02-279136.pdf</x:v>
      </x:c>
      <x:c r="P140" s="28" t="n">
        <x:v>1</x:v>
      </x:c>
      <x:c r="Q140" s="29" t="str">
        <x:v>Ingen amorteringsrad redovisas på avin.</x:v>
      </x:c>
    </x:row>
    <x:row r="141">
      <x:c r="A141" s="24" t="n">
        <x:v>44440</x:v>
      </x:c>
      <x:c r="B141" s="25" t="str">
        <x:v>Bolån</x:v>
      </x:c>
      <x:c r="C141" s="25" t="str">
        <x:v>Stadshypotek AB</x:v>
      </x:c>
      <x:c r="D141" s="25" t="str">
        <x:v>02-279136</x:v>
      </x:c>
      <x:c r="E141" s="25" t="str">
        <x:v>20543</x:v>
      </x:c>
      <x:c r="F141" s="29" t="str">
        <x:v>HSB Brf Siljan i Stockholm, lgh 178</x:v>
      </x:c>
      <x:c r="G141" s="26" t="n">
        <x:v>160000</x:v>
      </x:c>
      <x:c r="H141" s="27" t="n">
        <x:v>0.023399999999999997</x:v>
      </x:c>
      <x:c r="I141" s="24" t="n">
        <x:v>44409</x:v>
      </x:c>
      <x:c r="J141" s="28" t="n">
        <x:v>30</x:v>
      </x:c>
      <x:c r="K141" s="26" t="n">
        <x:v>312</x:v>
      </x:c>
      <x:c r="L141" s="26" t="n">
        <x:v>0</x:v>
      </x:c>
      <x:c r="M141" s="26" t="n">
        <x:v>0</x:v>
      </x:c>
      <x:c r="N141" s="26" t="n">
        <x:f>SUM(K141:M141)</x:f>
        <x:v>312</x:v>
      </x:c>
      <x:c r="O141" s="25" t="str">
        <x:v>2021-09-01_02-279136.pdf</x:v>
      </x:c>
      <x:c r="P141" s="28" t="n">
        <x:v>1</x:v>
      </x:c>
      <x:c r="Q141" s="29" t="str">
        <x:v>Ingen amorteringsrad redovisas på avin.</x:v>
      </x:c>
    </x:row>
    <x:row r="142">
      <x:c r="A142" s="24" t="n">
        <x:v>44470</x:v>
      </x:c>
      <x:c r="B142" s="25" t="str">
        <x:v>Bolån</x:v>
      </x:c>
      <x:c r="C142" s="25" t="str">
        <x:v>Stadshypotek AB</x:v>
      </x:c>
      <x:c r="D142" s="25" t="str">
        <x:v>02-279136</x:v>
      </x:c>
      <x:c r="E142" s="25" t="str">
        <x:v>20543</x:v>
      </x:c>
      <x:c r="F142" s="29" t="str">
        <x:v>HSB Brf Siljan i Stockholm, lgh 178</x:v>
      </x:c>
      <x:c r="G142" s="26" t="n">
        <x:v>160000</x:v>
      </x:c>
      <x:c r="H142" s="27" t="n">
        <x:v>0.023399999999999997</x:v>
      </x:c>
      <x:c r="I142" s="24" t="n">
        <x:v>44440</x:v>
      </x:c>
      <x:c r="J142" s="28" t="n">
        <x:v>30</x:v>
      </x:c>
      <x:c r="K142" s="26" t="n">
        <x:v>312</x:v>
      </x:c>
      <x:c r="L142" s="26" t="n">
        <x:v>0</x:v>
      </x:c>
      <x:c r="M142" s="26" t="n">
        <x:v>0</x:v>
      </x:c>
      <x:c r="N142" s="26" t="n">
        <x:f>SUM(K142:M142)</x:f>
        <x:v>312</x:v>
      </x:c>
      <x:c r="O142" s="25" t="str">
        <x:v>2021-10-01_02-279136.pdf</x:v>
      </x:c>
      <x:c r="P142" s="28" t="n">
        <x:v>1</x:v>
      </x:c>
      <x:c r="Q142" s="29" t="str">
        <x:v>Ingen amorteringsrad redovisas på avin.</x:v>
      </x:c>
    </x:row>
    <x:row r="143">
      <x:c r="A143" s="24" t="n">
        <x:v>44501</x:v>
      </x:c>
      <x:c r="B143" s="25" t="str">
        <x:v>Bolån</x:v>
      </x:c>
      <x:c r="C143" s="25" t="str">
        <x:v>Stadshypotek AB</x:v>
      </x:c>
      <x:c r="D143" s="25" t="str">
        <x:v>02-279136</x:v>
      </x:c>
      <x:c r="E143" s="25" t="str">
        <x:v>20543</x:v>
      </x:c>
      <x:c r="F143" s="29" t="str">
        <x:v>HSB Brf Siljan i Stockholm, lgh 178</x:v>
      </x:c>
      <x:c r="G143" s="26" t="n">
        <x:v>160000</x:v>
      </x:c>
      <x:c r="H143" s="27" t="n">
        <x:v>0.023399999999999997</x:v>
      </x:c>
      <x:c r="I143" s="24" t="n">
        <x:v>44470</x:v>
      </x:c>
      <x:c r="J143" s="28" t="n">
        <x:v>30</x:v>
      </x:c>
      <x:c r="K143" s="26" t="n">
        <x:v>312</x:v>
      </x:c>
      <x:c r="L143" s="26" t="n">
        <x:v>0</x:v>
      </x:c>
      <x:c r="M143" s="26" t="n">
        <x:v>0</x:v>
      </x:c>
      <x:c r="N143" s="26" t="n">
        <x:f>SUM(K143:M143)</x:f>
        <x:v>312</x:v>
      </x:c>
      <x:c r="O143" s="25" t="str">
        <x:v>2021-11-01_02-279136.pdf</x:v>
      </x:c>
      <x:c r="P143" s="28" t="n">
        <x:v>1</x:v>
      </x:c>
      <x:c r="Q143" s="29" t="str">
        <x:v>Ingen amorteringsrad redovisas på avin.</x:v>
      </x:c>
    </x:row>
    <x:row r="144">
      <x:c r="A144" s="24" t="n">
        <x:v>44531</x:v>
      </x:c>
      <x:c r="B144" s="25" t="str">
        <x:v>Bolån</x:v>
      </x:c>
      <x:c r="C144" s="25" t="str">
        <x:v>Stadshypotek AB</x:v>
      </x:c>
      <x:c r="D144" s="25" t="str">
        <x:v>02-279136</x:v>
      </x:c>
      <x:c r="E144" s="25" t="str">
        <x:v>20543</x:v>
      </x:c>
      <x:c r="F144" s="29" t="str">
        <x:v>HSB Brf Siljan i Stockholm, lgh 178</x:v>
      </x:c>
      <x:c r="G144" s="26" t="n">
        <x:v>160000</x:v>
      </x:c>
      <x:c r="H144" s="27" t="n">
        <x:v>0.023399999999999997</x:v>
      </x:c>
      <x:c r="I144" s="24" t="n">
        <x:v>44501</x:v>
      </x:c>
      <x:c r="J144" s="28" t="n">
        <x:v>30</x:v>
      </x:c>
      <x:c r="K144" s="26" t="n">
        <x:v>312</x:v>
      </x:c>
      <x:c r="L144" s="26" t="n">
        <x:v>0</x:v>
      </x:c>
      <x:c r="M144" s="26" t="n">
        <x:v>0</x:v>
      </x:c>
      <x:c r="N144" s="26" t="n">
        <x:f>SUM(K144:M144)</x:f>
        <x:v>312</x:v>
      </x:c>
      <x:c r="O144" s="25" t="str">
        <x:v>2021-12-01_02-279136.pdf</x:v>
      </x:c>
      <x:c r="P144" s="28" t="n">
        <x:v>1</x:v>
      </x:c>
      <x:c r="Q144" s="29" t="str">
        <x:v>Ingen amorteringsrad redovisas på avin.</x:v>
      </x:c>
    </x:row>
    <x:row r="145">
      <x:c r="A145" s="24" t="n">
        <x:v>44562</x:v>
      </x:c>
      <x:c r="B145" s="25" t="str">
        <x:v>Bolån</x:v>
      </x:c>
      <x:c r="C145" s="25" t="str">
        <x:v>Stadshypotek AB</x:v>
      </x:c>
      <x:c r="D145" s="25" t="str">
        <x:v>02-279136</x:v>
      </x:c>
      <x:c r="E145" s="25" t="str">
        <x:v>20543</x:v>
      </x:c>
      <x:c r="F145" s="29" t="str">
        <x:v>HSB Brf Siljan i Stockholm, lgh 178</x:v>
      </x:c>
      <x:c r="G145" s="26" t="n">
        <x:v>160000</x:v>
      </x:c>
      <x:c r="H145" s="27" t="n">
        <x:v>0.023399999999999997</x:v>
      </x:c>
      <x:c r="I145" s="24" t="n">
        <x:v>44531</x:v>
      </x:c>
      <x:c r="J145" s="28" t="n">
        <x:v>30</x:v>
      </x:c>
      <x:c r="K145" s="26" t="n">
        <x:v>312</x:v>
      </x:c>
      <x:c r="L145" s="26" t="n">
        <x:v>0</x:v>
      </x:c>
      <x:c r="M145" s="26" t="n">
        <x:v>0</x:v>
      </x:c>
      <x:c r="N145" s="26" t="n">
        <x:f>SUM(K145:M145)</x:f>
        <x:v>312</x:v>
      </x:c>
      <x:c r="O145" s="25" t="str">
        <x:v>2022-01-01_02-279136.pdf</x:v>
      </x:c>
      <x:c r="P145" s="28" t="n">
        <x:v>1</x:v>
      </x:c>
      <x:c r="Q145" s="29" t="str">
        <x:v>Ingen amorteringsrad redovisas på avin.</x:v>
      </x:c>
    </x:row>
    <x:row r="146">
      <x:c r="A146" s="24" t="n">
        <x:v>44593</x:v>
      </x:c>
      <x:c r="B146" s="25" t="str">
        <x:v>Bolån</x:v>
      </x:c>
      <x:c r="C146" s="25" t="str">
        <x:v>Stadshypotek AB</x:v>
      </x:c>
      <x:c r="D146" s="25" t="str">
        <x:v>02-279136</x:v>
      </x:c>
      <x:c r="E146" s="25" t="str">
        <x:v>20543</x:v>
      </x:c>
      <x:c r="F146" s="29" t="str">
        <x:v>HSB Brf Siljan i Stockholm, lgh 178</x:v>
      </x:c>
      <x:c r="G146" s="26" t="n">
        <x:v>160000</x:v>
      </x:c>
      <x:c r="H146" s="27" t="n">
        <x:v>0.023399999999999997</x:v>
      </x:c>
      <x:c r="I146" s="24" t="n">
        <x:v>44562</x:v>
      </x:c>
      <x:c r="J146" s="28" t="n">
        <x:v>30</x:v>
      </x:c>
      <x:c r="K146" s="26" t="n">
        <x:v>312</x:v>
      </x:c>
      <x:c r="L146" s="26" t="n">
        <x:v>0</x:v>
      </x:c>
      <x:c r="M146" s="26" t="n">
        <x:v>0</x:v>
      </x:c>
      <x:c r="N146" s="26" t="n">
        <x:f>SUM(K146:M146)</x:f>
        <x:v>312</x:v>
      </x:c>
      <x:c r="O146" s="25" t="str">
        <x:v>2022-02-01_02-279136.pdf</x:v>
      </x:c>
      <x:c r="P146" s="28" t="n">
        <x:v>1</x:v>
      </x:c>
      <x:c r="Q146" s="29" t="str">
        <x:v>Ingen amorteringsrad redovisas på avin.</x:v>
      </x:c>
    </x:row>
    <x:row r="147">
      <x:c r="A147" s="24" t="n">
        <x:v>44621</x:v>
      </x:c>
      <x:c r="B147" s="25" t="str">
        <x:v>Bolån</x:v>
      </x:c>
      <x:c r="C147" s="25" t="str">
        <x:v>Stadshypotek AB</x:v>
      </x:c>
      <x:c r="D147" s="25" t="str">
        <x:v>02-279136</x:v>
      </x:c>
      <x:c r="E147" s="25" t="str">
        <x:v>20543</x:v>
      </x:c>
      <x:c r="F147" s="29" t="str">
        <x:v>HSB Brf Siljan i Stockholm, lgh 178</x:v>
      </x:c>
      <x:c r="G147" s="26" t="n">
        <x:v>160000</x:v>
      </x:c>
      <x:c r="H147" s="27" t="n">
        <x:v>0.023399999999999997</x:v>
      </x:c>
      <x:c r="I147" s="24" t="n">
        <x:v>44593</x:v>
      </x:c>
      <x:c r="J147" s="28" t="n">
        <x:v>30</x:v>
      </x:c>
      <x:c r="K147" s="26" t="n">
        <x:v>312</x:v>
      </x:c>
      <x:c r="L147" s="26" t="n">
        <x:v>0</x:v>
      </x:c>
      <x:c r="M147" s="26" t="n">
        <x:v>0</x:v>
      </x:c>
      <x:c r="N147" s="26" t="n">
        <x:f>SUM(K147:M147)</x:f>
        <x:v>312</x:v>
      </x:c>
      <x:c r="O147" s="25" t="str">
        <x:v>2022-03-01_02-279136.pdf</x:v>
      </x:c>
      <x:c r="P147" s="28" t="n">
        <x:v>1</x:v>
      </x:c>
      <x:c r="Q147" s="29" t="str">
        <x:v>Ingen amorteringsrad redovisas på avin.</x:v>
      </x:c>
    </x:row>
    <x:row r="148">
      <x:c r="A148" s="24" t="n">
        <x:v>44652</x:v>
      </x:c>
      <x:c r="B148" s="25" t="str">
        <x:v>Bolån</x:v>
      </x:c>
      <x:c r="C148" s="25" t="str">
        <x:v>Stadshypotek AB</x:v>
      </x:c>
      <x:c r="D148" s="25" t="str">
        <x:v>02-279136</x:v>
      </x:c>
      <x:c r="E148" s="25" t="str">
        <x:v>20543</x:v>
      </x:c>
      <x:c r="F148" s="29" t="str">
        <x:v>HSB Brf Siljan i Stockholm, lgh 178</x:v>
      </x:c>
      <x:c r="G148" s="26" t="n">
        <x:v>160000</x:v>
      </x:c>
      <x:c r="H148" s="27" t="n">
        <x:v>0.0239</x:v>
      </x:c>
      <x:c r="I148" s="24" t="n">
        <x:v>44621</x:v>
      </x:c>
      <x:c r="J148" s="28" t="n">
        <x:v>30</x:v>
      </x:c>
      <x:c r="K148" s="26" t="n">
        <x:v>319</x:v>
      </x:c>
      <x:c r="L148" s="26" t="n">
        <x:v>0</x:v>
      </x:c>
      <x:c r="M148" s="26" t="n">
        <x:v>0</x:v>
      </x:c>
      <x:c r="N148" s="26" t="n">
        <x:f>SUM(K148:M148)</x:f>
        <x:v>319</x:v>
      </x:c>
      <x:c r="O148" s="25" t="str">
        <x:v>2022-04-01_02-279136.pdf</x:v>
      </x:c>
      <x:c r="P148" s="28" t="n">
        <x:v>1</x:v>
      </x:c>
      <x:c r="Q148" s="29" t="str">
        <x:v>Ingen amorteringsrad redovisas på avin.</x:v>
      </x:c>
    </x:row>
    <x:row r="149">
      <x:c r="A149" s="24" t="n">
        <x:v>44682</x:v>
      </x:c>
      <x:c r="B149" s="25" t="str">
        <x:v>Bolån</x:v>
      </x:c>
      <x:c r="C149" s="25" t="str">
        <x:v>Stadshypotek AB</x:v>
      </x:c>
      <x:c r="D149" s="25" t="str">
        <x:v>02-279136</x:v>
      </x:c>
      <x:c r="E149" s="25" t="str">
        <x:v>20543</x:v>
      </x:c>
      <x:c r="F149" s="29" t="str">
        <x:v>HSB Brf Siljan i Stockholm, lgh 178</x:v>
      </x:c>
      <x:c r="G149" s="26" t="n">
        <x:v>160000</x:v>
      </x:c>
      <x:c r="H149" s="27" t="n">
        <x:v>0.0239</x:v>
      </x:c>
      <x:c r="I149" s="24" t="n">
        <x:v>44652</x:v>
      </x:c>
      <x:c r="J149" s="28" t="n">
        <x:v>30</x:v>
      </x:c>
      <x:c r="K149" s="26" t="n">
        <x:v>319</x:v>
      </x:c>
      <x:c r="L149" s="26" t="n">
        <x:v>0</x:v>
      </x:c>
      <x:c r="M149" s="26" t="n">
        <x:v>0</x:v>
      </x:c>
      <x:c r="N149" s="26" t="n">
        <x:f>SUM(K149:M149)</x:f>
        <x:v>319</x:v>
      </x:c>
      <x:c r="O149" s="25" t="str">
        <x:v>2022-05-01_02-279136.pdf</x:v>
      </x:c>
      <x:c r="P149" s="28" t="n">
        <x:v>1</x:v>
      </x:c>
      <x:c r="Q149" s="29" t="str">
        <x:v>Ingen amorteringsrad redovisas på avin.</x:v>
      </x:c>
    </x:row>
    <x:row r="150">
      <x:c r="A150" s="24" t="n">
        <x:v>44713</x:v>
      </x:c>
      <x:c r="B150" s="25" t="str">
        <x:v>Bolån</x:v>
      </x:c>
      <x:c r="C150" s="25" t="str">
        <x:v>Stadshypotek AB</x:v>
      </x:c>
      <x:c r="D150" s="25" t="str">
        <x:v>02-279136</x:v>
      </x:c>
      <x:c r="E150" s="25" t="str">
        <x:v>20543</x:v>
      </x:c>
      <x:c r="F150" s="29" t="str">
        <x:v>HSB Brf Siljan i Stockholm, lgh 178</x:v>
      </x:c>
      <x:c r="G150" s="26" t="n">
        <x:v>160000</x:v>
      </x:c>
      <x:c r="H150" s="27" t="n">
        <x:v>0.0239</x:v>
      </x:c>
      <x:c r="I150" s="24" t="n">
        <x:v>44682</x:v>
      </x:c>
      <x:c r="J150" s="28" t="n">
        <x:v>30</x:v>
      </x:c>
      <x:c r="K150" s="26" t="n">
        <x:v>319</x:v>
      </x:c>
      <x:c r="L150" s="26" t="n">
        <x:v>0</x:v>
      </x:c>
      <x:c r="M150" s="26" t="n">
        <x:v>0</x:v>
      </x:c>
      <x:c r="N150" s="26" t="n">
        <x:f>SUM(K150:M150)</x:f>
        <x:v>319</x:v>
      </x:c>
      <x:c r="O150" s="25" t="str">
        <x:v>2022-06-01_02-279136.pdf</x:v>
      </x:c>
      <x:c r="P150" s="28" t="n">
        <x:v>1</x:v>
      </x:c>
      <x:c r="Q150" s="29" t="str">
        <x:v>Ingen amorteringsrad redovisas på avin.</x:v>
      </x:c>
    </x:row>
    <x:row r="151">
      <x:c r="A151" s="24" t="n">
        <x:v>44743</x:v>
      </x:c>
      <x:c r="B151" s="25" t="str">
        <x:v>Bolån</x:v>
      </x:c>
      <x:c r="C151" s="25" t="str">
        <x:v>Stadshypotek AB</x:v>
      </x:c>
      <x:c r="D151" s="25" t="str">
        <x:v>02-279136</x:v>
      </x:c>
      <x:c r="E151" s="25" t="str">
        <x:v>20543</x:v>
      </x:c>
      <x:c r="F151" s="29" t="str">
        <x:v>HSB Brf Siljan i Stockholm, lgh 178</x:v>
      </x:c>
      <x:c r="G151" s="26" t="n">
        <x:v>160000</x:v>
      </x:c>
      <x:c r="H151" s="27" t="n">
        <x:v>0.0269</x:v>
      </x:c>
      <x:c r="I151" s="24" t="n">
        <x:v>44713</x:v>
      </x:c>
      <x:c r="J151" s="28" t="n">
        <x:v>30</x:v>
      </x:c>
      <x:c r="K151" s="26" t="n">
        <x:v>359</x:v>
      </x:c>
      <x:c r="L151" s="26" t="n">
        <x:v>0</x:v>
      </x:c>
      <x:c r="M151" s="26" t="n">
        <x:v>0</x:v>
      </x:c>
      <x:c r="N151" s="26" t="n">
        <x:f>SUM(K151:M151)</x:f>
        <x:v>359</x:v>
      </x:c>
      <x:c r="O151" s="25" t="str">
        <x:v>2022-07-01_02-279136.pdf</x:v>
      </x:c>
      <x:c r="P151" s="28" t="n">
        <x:v>1</x:v>
      </x:c>
      <x:c r="Q151" s="29" t="str">
        <x:v>Ingen amorteringsrad redovisas på avin.</x:v>
      </x:c>
    </x:row>
    <x:row r="152">
      <x:c r="A152" s="24" t="n">
        <x:v>44774</x:v>
      </x:c>
      <x:c r="B152" s="25" t="str">
        <x:v>Bolån</x:v>
      </x:c>
      <x:c r="C152" s="25" t="str">
        <x:v>Stadshypotek AB</x:v>
      </x:c>
      <x:c r="D152" s="25" t="str">
        <x:v>02-279136</x:v>
      </x:c>
      <x:c r="E152" s="25" t="str">
        <x:v>20543</x:v>
      </x:c>
      <x:c r="F152" s="29" t="str">
        <x:v>HSB Brf Siljan i Stockholm, lgh 178</x:v>
      </x:c>
      <x:c r="G152" s="26" t="n">
        <x:v>160000</x:v>
      </x:c>
      <x:c r="H152" s="27" t="n">
        <x:v>0.0269</x:v>
      </x:c>
      <x:c r="I152" s="24" t="n">
        <x:v>44743</x:v>
      </x:c>
      <x:c r="J152" s="28" t="n">
        <x:v>30</x:v>
      </x:c>
      <x:c r="K152" s="26" t="n">
        <x:v>359</x:v>
      </x:c>
      <x:c r="L152" s="26" t="n">
        <x:v>0</x:v>
      </x:c>
      <x:c r="M152" s="26" t="n">
        <x:v>0</x:v>
      </x:c>
      <x:c r="N152" s="26" t="n">
        <x:f>SUM(K152:M152)</x:f>
        <x:v>359</x:v>
      </x:c>
      <x:c r="O152" s="25" t="str">
        <x:v>2022-08-01_02-279136.pdf</x:v>
      </x:c>
      <x:c r="P152" s="28" t="n">
        <x:v>1</x:v>
      </x:c>
      <x:c r="Q152" s="29" t="str">
        <x:v>Ingen amorteringsrad redovisas på avin.</x:v>
      </x:c>
    </x:row>
    <x:row r="153">
      <x:c r="A153" s="24" t="n">
        <x:v>44805</x:v>
      </x:c>
      <x:c r="B153" s="25" t="str">
        <x:v>Bolån</x:v>
      </x:c>
      <x:c r="C153" s="25" t="str">
        <x:v>Stadshypotek AB</x:v>
      </x:c>
      <x:c r="D153" s="25" t="str">
        <x:v>02-279136</x:v>
      </x:c>
      <x:c r="E153" s="25" t="str">
        <x:v>20543</x:v>
      </x:c>
      <x:c r="F153" s="29" t="str">
        <x:v>HSB Brf Siljan i Stockholm, lgh 178</x:v>
      </x:c>
      <x:c r="G153" s="26" t="n">
        <x:v>160000</x:v>
      </x:c>
      <x:c r="H153" s="27" t="n">
        <x:v>0.0269</x:v>
      </x:c>
      <x:c r="I153" s="24" t="n">
        <x:v>44774</x:v>
      </x:c>
      <x:c r="J153" s="28" t="n">
        <x:v>30</x:v>
      </x:c>
      <x:c r="K153" s="26" t="n">
        <x:v>359</x:v>
      </x:c>
      <x:c r="L153" s="26" t="n">
        <x:v>0</x:v>
      </x:c>
      <x:c r="M153" s="26" t="n">
        <x:v>0</x:v>
      </x:c>
      <x:c r="N153" s="26" t="n">
        <x:f>SUM(K153:M153)</x:f>
        <x:v>359</x:v>
      </x:c>
      <x:c r="O153" s="25" t="str">
        <x:v>2022-09-01_02-279136.pdf</x:v>
      </x:c>
      <x:c r="P153" s="28" t="n">
        <x:v>1</x:v>
      </x:c>
      <x:c r="Q153" s="29" t="str">
        <x:v>Ingen amorteringsrad redovisas på avin.</x:v>
      </x:c>
    </x:row>
    <x:row r="154">
      <x:c r="A154" s="24" t="n">
        <x:v>44835</x:v>
      </x:c>
      <x:c r="B154" s="25" t="str">
        <x:v>Bolån</x:v>
      </x:c>
      <x:c r="C154" s="25" t="str">
        <x:v>Stadshypotek AB</x:v>
      </x:c>
      <x:c r="D154" s="25" t="str">
        <x:v>02-279136</x:v>
      </x:c>
      <x:c r="E154" s="25" t="str">
        <x:v>20543</x:v>
      </x:c>
      <x:c r="F154" s="29" t="str">
        <x:v>HSB Brf Siljan i Stockholm, lgh 178</x:v>
      </x:c>
      <x:c r="G154" s="26" t="n">
        <x:v>160000</x:v>
      </x:c>
      <x:c r="H154" s="27" t="n">
        <x:v>0.0349</x:v>
      </x:c>
      <x:c r="I154" s="24" t="n">
        <x:v>44805</x:v>
      </x:c>
      <x:c r="J154" s="28" t="n">
        <x:v>30</x:v>
      </x:c>
      <x:c r="K154" s="26" t="n">
        <x:v>465</x:v>
      </x:c>
      <x:c r="L154" s="26" t="n">
        <x:v>0</x:v>
      </x:c>
      <x:c r="M154" s="26" t="n">
        <x:v>0</x:v>
      </x:c>
      <x:c r="N154" s="26" t="n">
        <x:f>SUM(K154:M154)</x:f>
        <x:v>465</x:v>
      </x:c>
      <x:c r="O154" s="25" t="str">
        <x:v>2022-10-01_02-279136.pdf</x:v>
      </x:c>
      <x:c r="P154" s="28" t="n">
        <x:v>1</x:v>
      </x:c>
      <x:c r="Q154" s="29" t="str">
        <x:v>Ingen amorteringsrad redovisas på avin.</x:v>
      </x:c>
    </x:row>
    <x:row r="155">
      <x:c r="A155" s="24" t="n">
        <x:v>44866</x:v>
      </x:c>
      <x:c r="B155" s="25" t="str">
        <x:v>Bolån</x:v>
      </x:c>
      <x:c r="C155" s="25" t="str">
        <x:v>Stadshypotek AB</x:v>
      </x:c>
      <x:c r="D155" s="25" t="str">
        <x:v>02-279136</x:v>
      </x:c>
      <x:c r="E155" s="25" t="str">
        <x:v>20543</x:v>
      </x:c>
      <x:c r="F155" s="29" t="str">
        <x:v>HSB Brf Siljan i Stockholm, lgh 178</x:v>
      </x:c>
      <x:c r="G155" s="26" t="n">
        <x:v>160000</x:v>
      </x:c>
      <x:c r="H155" s="27" t="n">
        <x:v>0.0349</x:v>
      </x:c>
      <x:c r="I155" s="24" t="n">
        <x:v>44835</x:v>
      </x:c>
      <x:c r="J155" s="28" t="n">
        <x:v>30</x:v>
      </x:c>
      <x:c r="K155" s="26" t="n">
        <x:v>465</x:v>
      </x:c>
      <x:c r="L155" s="26" t="n">
        <x:v>0</x:v>
      </x:c>
      <x:c r="M155" s="26" t="n">
        <x:v>0</x:v>
      </x:c>
      <x:c r="N155" s="26" t="n">
        <x:f>SUM(K155:M155)</x:f>
        <x:v>465</x:v>
      </x:c>
      <x:c r="O155" s="25" t="str">
        <x:v>2022-11-01_02-279136.pdf</x:v>
      </x:c>
      <x:c r="P155" s="28" t="n">
        <x:v>1</x:v>
      </x:c>
      <x:c r="Q155" s="29" t="str">
        <x:v>Ingen amorteringsrad redovisas på avin.</x:v>
      </x:c>
    </x:row>
    <x:row r="156">
      <x:c r="A156" s="24" t="n">
        <x:v>44896</x:v>
      </x:c>
      <x:c r="B156" s="25" t="str">
        <x:v>Bolån</x:v>
      </x:c>
      <x:c r="C156" s="25" t="str">
        <x:v>Stadshypotek AB</x:v>
      </x:c>
      <x:c r="D156" s="25" t="str">
        <x:v>02-279136</x:v>
      </x:c>
      <x:c r="E156" s="25" t="str">
        <x:v>20543</x:v>
      </x:c>
      <x:c r="F156" s="29" t="str">
        <x:v>HSB Brf Siljan i Stockholm, lgh 178</x:v>
      </x:c>
      <x:c r="G156" s="26" t="n">
        <x:v>160000</x:v>
      </x:c>
      <x:c r="H156" s="27" t="n">
        <x:v>0.0349</x:v>
      </x:c>
      <x:c r="I156" s="24" t="n">
        <x:v>44866</x:v>
      </x:c>
      <x:c r="J156" s="28" t="n">
        <x:v>30</x:v>
      </x:c>
      <x:c r="K156" s="26" t="n">
        <x:v>465</x:v>
      </x:c>
      <x:c r="L156" s="26" t="n">
        <x:v>0</x:v>
      </x:c>
      <x:c r="M156" s="26" t="n">
        <x:v>0</x:v>
      </x:c>
      <x:c r="N156" s="26" t="n">
        <x:f>SUM(K156:M156)</x:f>
        <x:v>465</x:v>
      </x:c>
      <x:c r="O156" s="25" t="str">
        <x:v>2022-12-01_02-279136.pdf</x:v>
      </x:c>
      <x:c r="P156" s="28" t="n">
        <x:v>1</x:v>
      </x:c>
      <x:c r="Q156" s="29" t="str">
        <x:v>Ingen amorteringsrad redovisas på avin.</x:v>
      </x:c>
    </x:row>
    <x:row r="157">
      <x:c r="A157" s="24" t="n">
        <x:v>44927</x:v>
      </x:c>
      <x:c r="B157" s="25" t="str">
        <x:v>Bolån</x:v>
      </x:c>
      <x:c r="C157" s="25" t="str">
        <x:v>Stadshypotek AB</x:v>
      </x:c>
      <x:c r="D157" s="25" t="str">
        <x:v>02-279136</x:v>
      </x:c>
      <x:c r="E157" s="25" t="str">
        <x:v>20543</x:v>
      </x:c>
      <x:c r="F157" s="29" t="str">
        <x:v>HSB Brf Siljan i Stockholm, lgh 178</x:v>
      </x:c>
      <x:c r="G157" s="26" t="n">
        <x:v>160000</x:v>
      </x:c>
      <x:c r="H157" s="27" t="n">
        <x:v>0.0429</x:v>
      </x:c>
      <x:c r="I157" s="24" t="n">
        <x:v>44896</x:v>
      </x:c>
      <x:c r="J157" s="28" t="n">
        <x:v>30</x:v>
      </x:c>
      <x:c r="K157" s="26" t="n">
        <x:v>572</x:v>
      </x:c>
      <x:c r="L157" s="26" t="n">
        <x:v>0</x:v>
      </x:c>
      <x:c r="M157" s="26" t="n">
        <x:v>0</x:v>
      </x:c>
      <x:c r="N157" s="26" t="n">
        <x:f>SUM(K157:M157)</x:f>
        <x:v>572</x:v>
      </x:c>
      <x:c r="O157" s="25" t="str">
        <x:v>2023-01-01_02-279136.pdf</x:v>
      </x:c>
      <x:c r="P157" s="28" t="n">
        <x:v>1</x:v>
      </x:c>
      <x:c r="Q157" s="29" t="str">
        <x:v>Ingen amorteringsrad redovisas på avin.</x:v>
      </x:c>
    </x:row>
    <x:row r="158">
      <x:c r="A158" s="24" t="n">
        <x:v>44958</x:v>
      </x:c>
      <x:c r="B158" s="25" t="str">
        <x:v>Bolån</x:v>
      </x:c>
      <x:c r="C158" s="25" t="str">
        <x:v>Stadshypotek AB</x:v>
      </x:c>
      <x:c r="D158" s="25" t="str">
        <x:v>02-279136</x:v>
      </x:c>
      <x:c r="E158" s="25" t="str">
        <x:v>20543</x:v>
      </x:c>
      <x:c r="F158" s="29" t="str">
        <x:v>HSB Brf Siljan i Stockholm, lgh 178</x:v>
      </x:c>
      <x:c r="G158" s="26" t="n">
        <x:v>160000</x:v>
      </x:c>
      <x:c r="H158" s="27" t="n">
        <x:v>0.0429</x:v>
      </x:c>
      <x:c r="I158" s="24" t="n">
        <x:v>44927</x:v>
      </x:c>
      <x:c r="J158" s="28" t="n">
        <x:v>30</x:v>
      </x:c>
      <x:c r="K158" s="26" t="n">
        <x:v>572</x:v>
      </x:c>
      <x:c r="L158" s="26" t="n">
        <x:v>0</x:v>
      </x:c>
      <x:c r="M158" s="26" t="n">
        <x:v>0</x:v>
      </x:c>
      <x:c r="N158" s="26" t="n">
        <x:f>SUM(K158:M158)</x:f>
        <x:v>572</x:v>
      </x:c>
      <x:c r="O158" s="25" t="str">
        <x:v>2023-02-01_02-279136.pdf</x:v>
      </x:c>
      <x:c r="P158" s="28" t="n">
        <x:v>1</x:v>
      </x:c>
      <x:c r="Q158" s="29" t="str">
        <x:v>Ingen amorteringsrad redovisas på avin.</x:v>
      </x:c>
    </x:row>
    <x:row r="159">
      <x:c r="A159" s="24" t="n">
        <x:v>44986</x:v>
      </x:c>
      <x:c r="B159" s="25" t="str">
        <x:v>Bolån</x:v>
      </x:c>
      <x:c r="C159" s="25" t="str">
        <x:v>Stadshypotek AB</x:v>
      </x:c>
      <x:c r="D159" s="25" t="str">
        <x:v>02-279136</x:v>
      </x:c>
      <x:c r="E159" s="25" t="str">
        <x:v>20543</x:v>
      </x:c>
      <x:c r="F159" s="29" t="str">
        <x:v>HSB Brf Siljan i Stockholm, lgh 178</x:v>
      </x:c>
      <x:c r="G159" s="26" t="n">
        <x:v>160000</x:v>
      </x:c>
      <x:c r="H159" s="27" t="n">
        <x:v>0.0429</x:v>
      </x:c>
      <x:c r="I159" s="24" t="n">
        <x:v>44958</x:v>
      </x:c>
      <x:c r="J159" s="28" t="n">
        <x:v>30</x:v>
      </x:c>
      <x:c r="K159" s="26" t="n">
        <x:v>572</x:v>
      </x:c>
      <x:c r="L159" s="26" t="n">
        <x:v>0</x:v>
      </x:c>
      <x:c r="M159" s="26" t="n">
        <x:v>0</x:v>
      </x:c>
      <x:c r="N159" s="26" t="n">
        <x:f>SUM(K159:M159)</x:f>
        <x:v>572</x:v>
      </x:c>
      <x:c r="O159" s="25" t="str">
        <x:v>2023-03-01_02-279136.pdf</x:v>
      </x:c>
      <x:c r="P159" s="28" t="n">
        <x:v>1</x:v>
      </x:c>
      <x:c r="Q159" s="29" t="str">
        <x:v>Ingen amorteringsrad redovisas på avin.</x:v>
      </x:c>
    </x:row>
    <x:row r="160">
      <x:c r="A160" s="24" t="n">
        <x:v>45017</x:v>
      </x:c>
      <x:c r="B160" s="25" t="str">
        <x:v>Bolån</x:v>
      </x:c>
      <x:c r="C160" s="25" t="str">
        <x:v>Stadshypotek AB</x:v>
      </x:c>
      <x:c r="D160" s="25" t="str">
        <x:v>02-279136</x:v>
      </x:c>
      <x:c r="E160" s="25" t="str">
        <x:v>20543</x:v>
      </x:c>
      <x:c r="F160" s="29" t="str">
        <x:v>HSB Brf Siljan i Stockholm, lgh 178</x:v>
      </x:c>
      <x:c r="G160" s="26" t="n">
        <x:v>160000</x:v>
      </x:c>
      <x:c r="H160" s="27" t="n">
        <x:v>0.049400000000000006</x:v>
      </x:c>
      <x:c r="I160" s="24" t="n">
        <x:v>44986</x:v>
      </x:c>
      <x:c r="J160" s="28" t="n">
        <x:v>30</x:v>
      </x:c>
      <x:c r="K160" s="26" t="n">
        <x:v>659</x:v>
      </x:c>
      <x:c r="L160" s="26" t="n">
        <x:v>0</x:v>
      </x:c>
      <x:c r="M160" s="26" t="n">
        <x:v>0</x:v>
      </x:c>
      <x:c r="N160" s="26" t="n">
        <x:f>SUM(K160:M160)</x:f>
        <x:v>659</x:v>
      </x:c>
      <x:c r="O160" s="25" t="str">
        <x:v>2023-04-01_02-279136.pdf</x:v>
      </x:c>
      <x:c r="P160" s="28" t="n">
        <x:v>1</x:v>
      </x:c>
      <x:c r="Q160" s="29" t="str">
        <x:v>Ingen amorteringsrad redovisas på avin.</x:v>
      </x:c>
    </x:row>
    <x:row r="161">
      <x:c r="A161" s="24" t="n">
        <x:v>45047</x:v>
      </x:c>
      <x:c r="B161" s="25" t="str">
        <x:v>Bolån</x:v>
      </x:c>
      <x:c r="C161" s="25" t="str">
        <x:v>Stadshypotek AB</x:v>
      </x:c>
      <x:c r="D161" s="25" t="str">
        <x:v>02-279136</x:v>
      </x:c>
      <x:c r="E161" s="25" t="str">
        <x:v>20543</x:v>
      </x:c>
      <x:c r="F161" s="29" t="str">
        <x:v>HSB Brf Siljan i Stockholm, lgh 178</x:v>
      </x:c>
      <x:c r="G161" s="26" t="n">
        <x:v>160000</x:v>
      </x:c>
      <x:c r="H161" s="27" t="n">
        <x:v>0.049400000000000006</x:v>
      </x:c>
      <x:c r="I161" s="24" t="n">
        <x:v>45017</x:v>
      </x:c>
      <x:c r="J161" s="28" t="n">
        <x:v>30</x:v>
      </x:c>
      <x:c r="K161" s="26" t="n">
        <x:v>659</x:v>
      </x:c>
      <x:c r="L161" s="26" t="n">
        <x:v>0</x:v>
      </x:c>
      <x:c r="M161" s="26" t="n">
        <x:v>0</x:v>
      </x:c>
      <x:c r="N161" s="26" t="n">
        <x:f>SUM(K161:M161)</x:f>
        <x:v>659</x:v>
      </x:c>
      <x:c r="O161" s="25" t="str">
        <x:v>2023-05-01_02-279136.pdf</x:v>
      </x:c>
      <x:c r="P161" s="28" t="n">
        <x:v>1</x:v>
      </x:c>
      <x:c r="Q161" s="29" t="str">
        <x:v>Ingen amorteringsrad redovisas på avin.</x:v>
      </x:c>
    </x:row>
    <x:row r="162">
      <x:c r="A162" s="24" t="n">
        <x:v>45078</x:v>
      </x:c>
      <x:c r="B162" s="25" t="str">
        <x:v>Bolån</x:v>
      </x:c>
      <x:c r="C162" s="25" t="str">
        <x:v>Stadshypotek AB</x:v>
      </x:c>
      <x:c r="D162" s="25" t="str">
        <x:v>02-279136</x:v>
      </x:c>
      <x:c r="E162" s="25" t="str">
        <x:v>20543</x:v>
      </x:c>
      <x:c r="F162" s="29" t="str">
        <x:v>HSB Brf Siljan i Stockholm, lgh 178</x:v>
      </x:c>
      <x:c r="G162" s="26" t="n">
        <x:v>160000</x:v>
      </x:c>
      <x:c r="H162" s="27" t="n">
        <x:v>0.049400000000000006</x:v>
      </x:c>
      <x:c r="I162" s="24" t="n">
        <x:v>45047</x:v>
      </x:c>
      <x:c r="J162" s="28" t="n">
        <x:v>30</x:v>
      </x:c>
      <x:c r="K162" s="26" t="n">
        <x:v>659</x:v>
      </x:c>
      <x:c r="L162" s="26" t="n">
        <x:v>0</x:v>
      </x:c>
      <x:c r="M162" s="26" t="n">
        <x:v>0</x:v>
      </x:c>
      <x:c r="N162" s="26" t="n">
        <x:f>SUM(K162:M162)</x:f>
        <x:v>659</x:v>
      </x:c>
      <x:c r="O162" s="25" t="str">
        <x:v>2023-06-01_02-279136.pdf</x:v>
      </x:c>
      <x:c r="P162" s="28" t="n">
        <x:v>1</x:v>
      </x:c>
      <x:c r="Q162" s="29" t="str">
        <x:v>Ingen amorteringsrad redovisas på avin.</x:v>
      </x:c>
    </x:row>
    <x:row r="163">
      <x:c r="A163" s="24" t="n">
        <x:v>45108</x:v>
      </x:c>
      <x:c r="B163" s="25" t="str">
        <x:v>Bolån</x:v>
      </x:c>
      <x:c r="C163" s="25" t="str">
        <x:v>Stadshypotek AB</x:v>
      </x:c>
      <x:c r="D163" s="25" t="str">
        <x:v>02-279136</x:v>
      </x:c>
      <x:c r="E163" s="25" t="str">
        <x:v>20543</x:v>
      </x:c>
      <x:c r="F163" s="29" t="str">
        <x:v>HSB Brf Siljan i Stockholm, lgh 178</x:v>
      </x:c>
      <x:c r="G163" s="26" t="n">
        <x:v>160000</x:v>
      </x:c>
      <x:c r="H163" s="27" t="n">
        <x:v>0.054400000000000004</x:v>
      </x:c>
      <x:c r="I163" s="24" t="n">
        <x:v>45078</x:v>
      </x:c>
      <x:c r="J163" s="28" t="n">
        <x:v>30</x:v>
      </x:c>
      <x:c r="K163" s="26" t="n">
        <x:v>725</x:v>
      </x:c>
      <x:c r="L163" s="26" t="n">
        <x:v>0</x:v>
      </x:c>
      <x:c r="M163" s="26" t="n">
        <x:v>0</x:v>
      </x:c>
      <x:c r="N163" s="26" t="n">
        <x:f>SUM(K163:M163)</x:f>
        <x:v>725</x:v>
      </x:c>
      <x:c r="O163" s="25" t="str">
        <x:v>2023-07-01_02-279136.pdf</x:v>
      </x:c>
      <x:c r="P163" s="28" t="n">
        <x:v>1</x:v>
      </x:c>
      <x:c r="Q163" s="29" t="str">
        <x:v>Ingen amorteringsrad redovisas på avin.</x:v>
      </x:c>
    </x:row>
    <x:row r="164">
      <x:c r="A164" s="24" t="n">
        <x:v>45139</x:v>
      </x:c>
      <x:c r="B164" s="25" t="str">
        <x:v>Bolån</x:v>
      </x:c>
      <x:c r="C164" s="25" t="str">
        <x:v>Stadshypotek AB</x:v>
      </x:c>
      <x:c r="D164" s="25" t="str">
        <x:v>02-279136</x:v>
      </x:c>
      <x:c r="E164" s="25" t="str">
        <x:v>20543</x:v>
      </x:c>
      <x:c r="F164" s="29" t="str">
        <x:v>HSB Brf Siljan i Stockholm, lgh 178</x:v>
      </x:c>
      <x:c r="G164" s="26" t="n">
        <x:v>160000</x:v>
      </x:c>
      <x:c r="H164" s="27" t="n">
        <x:v>0.054400000000000004</x:v>
      </x:c>
      <x:c r="I164" s="24" t="n">
        <x:v>45108</x:v>
      </x:c>
      <x:c r="J164" s="28" t="n">
        <x:v>30</x:v>
      </x:c>
      <x:c r="K164" s="26" t="n">
        <x:v>725</x:v>
      </x:c>
      <x:c r="L164" s="26" t="n">
        <x:v>0</x:v>
      </x:c>
      <x:c r="M164" s="26" t="n">
        <x:v>0</x:v>
      </x:c>
      <x:c r="N164" s="26" t="n">
        <x:f>SUM(K164:M164)</x:f>
        <x:v>725</x:v>
      </x:c>
      <x:c r="O164" s="25" t="str">
        <x:v>2023-08-01_02-279136.pdf</x:v>
      </x:c>
      <x:c r="P164" s="28" t="n">
        <x:v>1</x:v>
      </x:c>
      <x:c r="Q164" s="29" t="str">
        <x:v>Ingen amorteringsrad redovisas på avin.</x:v>
      </x:c>
    </x:row>
    <x:row r="165">
      <x:c r="A165" s="24" t="n">
        <x:v>45170</x:v>
      </x:c>
      <x:c r="B165" s="25" t="str">
        <x:v>Bolån</x:v>
      </x:c>
      <x:c r="C165" s="25" t="str">
        <x:v>Stadshypotek AB</x:v>
      </x:c>
      <x:c r="D165" s="25" t="str">
        <x:v>02-279136</x:v>
      </x:c>
      <x:c r="E165" s="25" t="str">
        <x:v>20543</x:v>
      </x:c>
      <x:c r="F165" s="29" t="str">
        <x:v>HSB Brf Siljan i Stockholm, lgh 178</x:v>
      </x:c>
      <x:c r="G165" s="26" t="n">
        <x:v>160000</x:v>
      </x:c>
      <x:c r="H165" s="27" t="n">
        <x:v>0.054400000000000004</x:v>
      </x:c>
      <x:c r="I165" s="24" t="n">
        <x:v>45139</x:v>
      </x:c>
      <x:c r="J165" s="28" t="n">
        <x:v>30</x:v>
      </x:c>
      <x:c r="K165" s="26" t="n">
        <x:v>725</x:v>
      </x:c>
      <x:c r="L165" s="26" t="n">
        <x:v>0</x:v>
      </x:c>
      <x:c r="M165" s="26" t="n">
        <x:v>0</x:v>
      </x:c>
      <x:c r="N165" s="26" t="n">
        <x:f>SUM(K165:M165)</x:f>
        <x:v>725</x:v>
      </x:c>
      <x:c r="O165" s="25" t="str">
        <x:v>2023-09-01_02-279136.pdf</x:v>
      </x:c>
      <x:c r="P165" s="28" t="n">
        <x:v>1</x:v>
      </x:c>
      <x:c r="Q165" s="29" t="str">
        <x:v>Ingen amorteringsrad redovisas på avin.</x:v>
      </x:c>
    </x:row>
    <x:row r="166">
      <x:c r="A166" s="24" t="n">
        <x:v>45200</x:v>
      </x:c>
      <x:c r="B166" s="25" t="str">
        <x:v>Bolån</x:v>
      </x:c>
      <x:c r="C166" s="25" t="str">
        <x:v>Stadshypotek AB</x:v>
      </x:c>
      <x:c r="D166" s="25" t="str">
        <x:v>02-279136</x:v>
      </x:c>
      <x:c r="E166" s="25" t="str">
        <x:v>20543</x:v>
      </x:c>
      <x:c r="F166" s="29" t="str">
        <x:v>HSB Brf Siljan i Stockholm, lgh 178</x:v>
      </x:c>
      <x:c r="G166" s="26" t="n">
        <x:v>160000</x:v>
      </x:c>
      <x:c r="H166" s="27" t="n">
        <x:v>0.056900000000000006</x:v>
      </x:c>
      <x:c r="I166" s="24" t="n">
        <x:v>45170</x:v>
      </x:c>
      <x:c r="J166" s="28" t="n">
        <x:v>30</x:v>
      </x:c>
      <x:c r="K166" s="26" t="n">
        <x:v>759</x:v>
      </x:c>
      <x:c r="L166" s="26" t="n">
        <x:v>0</x:v>
      </x:c>
      <x:c r="M166" s="26" t="n">
        <x:v>0</x:v>
      </x:c>
      <x:c r="N166" s="26" t="n">
        <x:f>SUM(K166:M166)</x:f>
        <x:v>759</x:v>
      </x:c>
      <x:c r="O166" s="25" t="str">
        <x:v>2023-10-01_02-279136.pdf</x:v>
      </x:c>
      <x:c r="P166" s="28" t="n">
        <x:v>1</x:v>
      </x:c>
      <x:c r="Q166" s="29" t="str">
        <x:v>Ingen amorteringsrad redovisas på avin.</x:v>
      </x:c>
    </x:row>
    <x:row r="167">
      <x:c r="A167" s="24" t="n">
        <x:v>45231</x:v>
      </x:c>
      <x:c r="B167" s="25" t="str">
        <x:v>Bolån</x:v>
      </x:c>
      <x:c r="C167" s="25" t="str">
        <x:v>Stadshypotek AB</x:v>
      </x:c>
      <x:c r="D167" s="25" t="str">
        <x:v>02-279136</x:v>
      </x:c>
      <x:c r="E167" s="25" t="str">
        <x:v>20543</x:v>
      </x:c>
      <x:c r="F167" s="29" t="str">
        <x:v>HSB Brf Siljan i Stockholm, lgh 178</x:v>
      </x:c>
      <x:c r="G167" s="26" t="n">
        <x:v>160000</x:v>
      </x:c>
      <x:c r="H167" s="27" t="n">
        <x:v>0.056900000000000006</x:v>
      </x:c>
      <x:c r="I167" s="24" t="n">
        <x:v>45200</x:v>
      </x:c>
      <x:c r="J167" s="28" t="n">
        <x:v>30</x:v>
      </x:c>
      <x:c r="K167" s="26" t="n">
        <x:v>759</x:v>
      </x:c>
      <x:c r="L167" s="26" t="n">
        <x:v>0</x:v>
      </x:c>
      <x:c r="M167" s="26" t="n">
        <x:v>0</x:v>
      </x:c>
      <x:c r="N167" s="26" t="n">
        <x:f>SUM(K167:M167)</x:f>
        <x:v>759</x:v>
      </x:c>
      <x:c r="O167" s="25" t="str">
        <x:v>2023-11-01_02-279136.pdf</x:v>
      </x:c>
      <x:c r="P167" s="28" t="n">
        <x:v>1</x:v>
      </x:c>
      <x:c r="Q167" s="29" t="str">
        <x:v>Ingen amorteringsrad redovisas på avin.</x:v>
      </x:c>
    </x:row>
    <x:row r="168">
      <x:c r="A168" s="24" t="n">
        <x:v>45261</x:v>
      </x:c>
      <x:c r="B168" s="25" t="str">
        <x:v>Bolån</x:v>
      </x:c>
      <x:c r="C168" s="25" t="str">
        <x:v>Stadshypotek AB</x:v>
      </x:c>
      <x:c r="D168" s="25" t="str">
        <x:v>02-279136</x:v>
      </x:c>
      <x:c r="E168" s="25" t="str">
        <x:v>20543</x:v>
      </x:c>
      <x:c r="F168" s="29" t="str">
        <x:v>HSB Brf Siljan i Stockholm, lgh 178</x:v>
      </x:c>
      <x:c r="G168" s="26" t="n">
        <x:v>160000</x:v>
      </x:c>
      <x:c r="H168" s="27" t="n">
        <x:v>0.056900000000000006</x:v>
      </x:c>
      <x:c r="I168" s="24" t="n">
        <x:v>45231</x:v>
      </x:c>
      <x:c r="J168" s="28" t="n">
        <x:v>30</x:v>
      </x:c>
      <x:c r="K168" s="26" t="n">
        <x:v>759</x:v>
      </x:c>
      <x:c r="L168" s="26" t="n">
        <x:v>0</x:v>
      </x:c>
      <x:c r="M168" s="26" t="n">
        <x:v>0</x:v>
      </x:c>
      <x:c r="N168" s="26" t="n">
        <x:f>SUM(K168:M168)</x:f>
        <x:v>759</x:v>
      </x:c>
      <x:c r="O168" s="25" t="str">
        <x:v>2023-12-01_02-279136.pdf</x:v>
      </x:c>
      <x:c r="P168" s="28" t="n">
        <x:v>1</x:v>
      </x:c>
      <x:c r="Q168" s="29" t="str">
        <x:v>Ingen amorteringsrad redovisas på avin.</x:v>
      </x:c>
    </x:row>
    <x:row r="169">
      <x:c r="A169" s="24" t="n">
        <x:v>45292</x:v>
      </x:c>
      <x:c r="B169" s="25" t="str">
        <x:v>Bolån</x:v>
      </x:c>
      <x:c r="C169" s="25" t="str">
        <x:v>Stadshypotek AB</x:v>
      </x:c>
      <x:c r="D169" s="25" t="str">
        <x:v>02-279136</x:v>
      </x:c>
      <x:c r="E169" s="25" t="str">
        <x:v>20543</x:v>
      </x:c>
      <x:c r="F169" s="29" t="str">
        <x:v>HSB Brf Siljan i Stockholm, lgh 178</x:v>
      </x:c>
      <x:c r="G169" s="26" t="n">
        <x:v>160000</x:v>
      </x:c>
      <x:c r="H169" s="27" t="n">
        <x:v>0.0594</x:v>
      </x:c>
      <x:c r="I169" s="24" t="n">
        <x:v>45261</x:v>
      </x:c>
      <x:c r="J169" s="28" t="n">
        <x:v>30</x:v>
      </x:c>
      <x:c r="K169" s="26" t="n">
        <x:v>792</x:v>
      </x:c>
      <x:c r="L169" s="26" t="n">
        <x:v>0</x:v>
      </x:c>
      <x:c r="M169" s="26" t="n">
        <x:v>0</x:v>
      </x:c>
      <x:c r="N169" s="26" t="n">
        <x:f>SUM(K169:M169)</x:f>
        <x:v>792</x:v>
      </x:c>
      <x:c r="O169" s="25" t="str">
        <x:v>2024-01-01_02-279136.pdf</x:v>
      </x:c>
      <x:c r="P169" s="28" t="n">
        <x:v>1</x:v>
      </x:c>
      <x:c r="Q169" s="29" t="str">
        <x:v>Ingen amorteringsrad redovisas på avin.</x:v>
      </x:c>
    </x:row>
    <x:row r="170">
      <x:c r="A170" s="24" t="n">
        <x:v>45323</x:v>
      </x:c>
      <x:c r="B170" s="25" t="str">
        <x:v>Bolån</x:v>
      </x:c>
      <x:c r="C170" s="25" t="str">
        <x:v>Stadshypotek AB</x:v>
      </x:c>
      <x:c r="D170" s="25" t="str">
        <x:v>02-279136</x:v>
      </x:c>
      <x:c r="E170" s="25" t="str">
        <x:v>20543</x:v>
      </x:c>
      <x:c r="F170" s="29" t="str">
        <x:v>HSB Brf Siljan i Stockholm, lgh 178</x:v>
      </x:c>
      <x:c r="G170" s="26" t="n">
        <x:v>160000</x:v>
      </x:c>
      <x:c r="H170" s="27" t="n">
        <x:v>0.0594</x:v>
      </x:c>
      <x:c r="I170" s="24" t="n">
        <x:v>45292</x:v>
      </x:c>
      <x:c r="J170" s="28" t="n">
        <x:v>30</x:v>
      </x:c>
      <x:c r="K170" s="26" t="n">
        <x:v>792</x:v>
      </x:c>
      <x:c r="L170" s="26" t="n">
        <x:v>0</x:v>
      </x:c>
      <x:c r="M170" s="26" t="n">
        <x:v>0</x:v>
      </x:c>
      <x:c r="N170" s="26" t="n">
        <x:f>SUM(K170:M170)</x:f>
        <x:v>792</x:v>
      </x:c>
      <x:c r="O170" s="25" t="str">
        <x:v>2024-02-01_02-279136.pdf</x:v>
      </x:c>
      <x:c r="P170" s="28" t="n">
        <x:v>1</x:v>
      </x:c>
      <x:c r="Q170" s="29" t="str">
        <x:v>Ingen amorteringsrad redovisas på avin.</x:v>
      </x:c>
    </x:row>
    <x:row r="171">
      <x:c r="A171" s="24" t="n">
        <x:v>45352</x:v>
      </x:c>
      <x:c r="B171" s="25" t="str">
        <x:v>Bolån</x:v>
      </x:c>
      <x:c r="C171" s="25" t="str">
        <x:v>Stadshypotek AB</x:v>
      </x:c>
      <x:c r="D171" s="25" t="str">
        <x:v>02-279136</x:v>
      </x:c>
      <x:c r="E171" s="25" t="str">
        <x:v>20543</x:v>
      </x:c>
      <x:c r="F171" s="29" t="str">
        <x:v>HSB Brf Siljan i Stockholm, lgh 178</x:v>
      </x:c>
      <x:c r="G171" s="26" t="n">
        <x:v>160000</x:v>
      </x:c>
      <x:c r="H171" s="27" t="n">
        <x:v>0.0594</x:v>
      </x:c>
      <x:c r="I171" s="24" t="n">
        <x:v>45323</x:v>
      </x:c>
      <x:c r="J171" s="28" t="n">
        <x:v>30</x:v>
      </x:c>
      <x:c r="K171" s="26" t="n">
        <x:v>792</x:v>
      </x:c>
      <x:c r="L171" s="26" t="n">
        <x:v>0</x:v>
      </x:c>
      <x:c r="M171" s="26" t="n">
        <x:v>0</x:v>
      </x:c>
      <x:c r="N171" s="26" t="n">
        <x:f>SUM(K171:M171)</x:f>
        <x:v>792</x:v>
      </x:c>
      <x:c r="O171" s="25" t="str">
        <x:v>2024-03-01_02-279136.pdf</x:v>
      </x:c>
      <x:c r="P171" s="28" t="n">
        <x:v>1</x:v>
      </x:c>
      <x:c r="Q171" s="29" t="str">
        <x:v>Ingen amorteringsrad redovisas på avin.</x:v>
      </x:c>
    </x:row>
    <x:row r="172">
      <x:c r="A172" s="24" t="n">
        <x:v>45383</x:v>
      </x:c>
      <x:c r="B172" s="25" t="str">
        <x:v>Bolån</x:v>
      </x:c>
      <x:c r="C172" s="25" t="str">
        <x:v>Stadshypotek AB</x:v>
      </x:c>
      <x:c r="D172" s="25" t="str">
        <x:v>02-279136</x:v>
      </x:c>
      <x:c r="E172" s="25" t="str">
        <x:v>20543</x:v>
      </x:c>
      <x:c r="F172" s="29" t="str">
        <x:v>HSB Brf Siljan i Stockholm, lgh 178</x:v>
      </x:c>
      <x:c r="G172" s="26" t="n">
        <x:v>160000</x:v>
      </x:c>
      <x:c r="H172" s="27" t="n">
        <x:v>0.0594</x:v>
      </x:c>
      <x:c r="I172" s="24" t="n">
        <x:v>45352</x:v>
      </x:c>
      <x:c r="J172" s="28" t="n">
        <x:v>30</x:v>
      </x:c>
      <x:c r="K172" s="26" t="n">
        <x:v>792</x:v>
      </x:c>
      <x:c r="L172" s="26" t="n">
        <x:v>0</x:v>
      </x:c>
      <x:c r="M172" s="26" t="n">
        <x:v>0</x:v>
      </x:c>
      <x:c r="N172" s="26" t="n">
        <x:f>SUM(K172:M172)</x:f>
        <x:v>792</x:v>
      </x:c>
      <x:c r="O172" s="25" t="str">
        <x:v>2024-04-01_02-279136.pdf</x:v>
      </x:c>
      <x:c r="P172" s="28" t="n">
        <x:v>1</x:v>
      </x:c>
      <x:c r="Q172" s="29" t="str">
        <x:v>Ingen amorteringsrad redovisas på avin.</x:v>
      </x:c>
    </x:row>
    <x:row r="173">
      <x:c r="A173" s="24" t="n">
        <x:v>45413</x:v>
      </x:c>
      <x:c r="B173" s="25" t="str">
        <x:v>Bolån</x:v>
      </x:c>
      <x:c r="C173" s="25" t="str">
        <x:v>Stadshypotek AB</x:v>
      </x:c>
      <x:c r="D173" s="25" t="str">
        <x:v>02-279136</x:v>
      </x:c>
      <x:c r="E173" s="25" t="str">
        <x:v>20543</x:v>
      </x:c>
      <x:c r="F173" s="29" t="str">
        <x:v>HSB Brf Siljan i Stockholm, lgh 178</x:v>
      </x:c>
      <x:c r="G173" s="26" t="n">
        <x:v>160000</x:v>
      </x:c>
      <x:c r="H173" s="27" t="n">
        <x:v>0.0594</x:v>
      </x:c>
      <x:c r="I173" s="24" t="n">
        <x:v>45383</x:v>
      </x:c>
      <x:c r="J173" s="28" t="n">
        <x:v>30</x:v>
      </x:c>
      <x:c r="K173" s="26" t="n">
        <x:v>792</x:v>
      </x:c>
      <x:c r="L173" s="26" t="n">
        <x:v>0</x:v>
      </x:c>
      <x:c r="M173" s="26" t="n">
        <x:v>0</x:v>
      </x:c>
      <x:c r="N173" s="26" t="n">
        <x:f>SUM(K173:M173)</x:f>
        <x:v>792</x:v>
      </x:c>
      <x:c r="O173" s="25" t="str">
        <x:v>2024-05-01_02-279136.pdf</x:v>
      </x:c>
      <x:c r="P173" s="28" t="n">
        <x:v>1</x:v>
      </x:c>
      <x:c r="Q173" s="29" t="str">
        <x:v>Ingen amorteringsrad redovisas på avin.</x:v>
      </x:c>
    </x:row>
    <x:row r="174">
      <x:c r="A174" s="24" t="n">
        <x:v>45444</x:v>
      </x:c>
      <x:c r="B174" s="25" t="str">
        <x:v>Bolån</x:v>
      </x:c>
      <x:c r="C174" s="25" t="str">
        <x:v>Stadshypotek AB</x:v>
      </x:c>
      <x:c r="D174" s="25" t="str">
        <x:v>02-279136</x:v>
      </x:c>
      <x:c r="E174" s="25" t="str">
        <x:v>20543</x:v>
      </x:c>
      <x:c r="F174" s="29" t="str">
        <x:v>HSB Brf Siljan i Stockholm, lgh 178</x:v>
      </x:c>
      <x:c r="G174" s="26" t="n">
        <x:v>160000</x:v>
      </x:c>
      <x:c r="H174" s="27" t="n">
        <x:v>0.0594</x:v>
      </x:c>
      <x:c r="I174" s="24" t="n">
        <x:v>45413</x:v>
      </x:c>
      <x:c r="J174" s="28" t="n">
        <x:v>30</x:v>
      </x:c>
      <x:c r="K174" s="26" t="n">
        <x:v>792</x:v>
      </x:c>
      <x:c r="L174" s="26" t="n">
        <x:v>0</x:v>
      </x:c>
      <x:c r="M174" s="26" t="n">
        <x:v>0</x:v>
      </x:c>
      <x:c r="N174" s="26" t="n">
        <x:f>SUM(K174:M174)</x:f>
        <x:v>792</x:v>
      </x:c>
      <x:c r="O174" s="25" t="str">
        <x:v>2024-06-01_02-279136.pdf</x:v>
      </x:c>
      <x:c r="P174" s="28" t="n">
        <x:v>1</x:v>
      </x:c>
      <x:c r="Q174" s="29" t="str">
        <x:v>Ingen amorteringsrad redovisas på avin.</x:v>
      </x:c>
    </x:row>
    <x:row r="175">
      <x:c r="A175" s="24" t="n">
        <x:v>45474</x:v>
      </x:c>
      <x:c r="B175" s="25" t="str">
        <x:v>Bolån</x:v>
      </x:c>
      <x:c r="C175" s="25" t="str">
        <x:v>Stadshypotek AB</x:v>
      </x:c>
      <x:c r="D175" s="25" t="str">
        <x:v>02-279136</x:v>
      </x:c>
      <x:c r="E175" s="25" t="str">
        <x:v>20543</x:v>
      </x:c>
      <x:c r="F175" s="29" t="str">
        <x:v>HSB Brf Siljan i Stockholm, lgh 178</x:v>
      </x:c>
      <x:c r="G175" s="26" t="n">
        <x:v>160000</x:v>
      </x:c>
      <x:c r="H175" s="27" t="n">
        <x:v>0.056900000000000006</x:v>
      </x:c>
      <x:c r="I175" s="24" t="n">
        <x:v>45444</x:v>
      </x:c>
      <x:c r="J175" s="28" t="n">
        <x:v>30</x:v>
      </x:c>
      <x:c r="K175" s="26" t="n">
        <x:v>759</x:v>
      </x:c>
      <x:c r="L175" s="26" t="n">
        <x:v>0</x:v>
      </x:c>
      <x:c r="M175" s="26" t="n">
        <x:v>0</x:v>
      </x:c>
      <x:c r="N175" s="26" t="n">
        <x:f>SUM(K175:M175)</x:f>
        <x:v>759</x:v>
      </x:c>
      <x:c r="O175" s="25" t="str">
        <x:v>2024-07-01_02-279136.pdf</x:v>
      </x:c>
      <x:c r="P175" s="28" t="n">
        <x:v>1</x:v>
      </x:c>
      <x:c r="Q175" s="29" t="str">
        <x:v>Ingen amorteringsrad redovisas på avin.</x:v>
      </x:c>
    </x:row>
    <x:row r="176">
      <x:c r="A176" s="24" t="n">
        <x:v>45505</x:v>
      </x:c>
      <x:c r="B176" s="25" t="str">
        <x:v>Bolån</x:v>
      </x:c>
      <x:c r="C176" s="25" t="str">
        <x:v>Stadshypotek AB</x:v>
      </x:c>
      <x:c r="D176" s="25" t="str">
        <x:v>02-279136</x:v>
      </x:c>
      <x:c r="E176" s="25" t="str">
        <x:v>20543</x:v>
      </x:c>
      <x:c r="F176" s="29" t="str">
        <x:v>HSB Brf Siljan i Stockholm, lgh 178</x:v>
      </x:c>
      <x:c r="G176" s="26" t="n">
        <x:v>160000</x:v>
      </x:c>
      <x:c r="H176" s="27" t="n">
        <x:v>0.056900000000000006</x:v>
      </x:c>
      <x:c r="I176" s="24" t="n">
        <x:v>45474</x:v>
      </x:c>
      <x:c r="J176" s="28" t="n">
        <x:v>30</x:v>
      </x:c>
      <x:c r="K176" s="26" t="n">
        <x:v>759</x:v>
      </x:c>
      <x:c r="L176" s="26" t="n">
        <x:v>0</x:v>
      </x:c>
      <x:c r="M176" s="26" t="n">
        <x:v>0</x:v>
      </x:c>
      <x:c r="N176" s="26" t="n">
        <x:f>SUM(K176:M176)</x:f>
        <x:v>759</x:v>
      </x:c>
      <x:c r="O176" s="25" t="str">
        <x:v>2024-08-01_02-279136.pdf</x:v>
      </x:c>
      <x:c r="P176" s="28" t="n">
        <x:v>1</x:v>
      </x:c>
      <x:c r="Q176" s="29" t="str">
        <x:v>Ingen amorteringsrad redovisas på avin.</x:v>
      </x:c>
    </x:row>
    <x:row r="177">
      <x:c r="A177" s="24" t="n">
        <x:v>45536</x:v>
      </x:c>
      <x:c r="B177" s="25" t="str">
        <x:v>Bolån</x:v>
      </x:c>
      <x:c r="C177" s="25" t="str">
        <x:v>Stadshypotek AB</x:v>
      </x:c>
      <x:c r="D177" s="25" t="str">
        <x:v>02-279136</x:v>
      </x:c>
      <x:c r="E177" s="25" t="str">
        <x:v>20543</x:v>
      </x:c>
      <x:c r="F177" s="29" t="str">
        <x:v>HSB Brf Siljan i Stockholm, lgh 178</x:v>
      </x:c>
      <x:c r="G177" s="26" t="n">
        <x:v>160000</x:v>
      </x:c>
      <x:c r="H177" s="27" t="n">
        <x:v>0.056900000000000006</x:v>
      </x:c>
      <x:c r="I177" s="24" t="n">
        <x:v>45505</x:v>
      </x:c>
      <x:c r="J177" s="28" t="n">
        <x:v>30</x:v>
      </x:c>
      <x:c r="K177" s="26" t="n">
        <x:v>759</x:v>
      </x:c>
      <x:c r="L177" s="26" t="n">
        <x:v>0</x:v>
      </x:c>
      <x:c r="M177" s="26" t="n">
        <x:v>0</x:v>
      </x:c>
      <x:c r="N177" s="26" t="n">
        <x:f>SUM(K177:M177)</x:f>
        <x:v>759</x:v>
      </x:c>
      <x:c r="O177" s="25" t="str">
        <x:v>2024-09-01_02-279136.pdf</x:v>
      </x:c>
      <x:c r="P177" s="28" t="n">
        <x:v>1</x:v>
      </x:c>
      <x:c r="Q177" s="29" t="str">
        <x:v>Ingen amorteringsrad redovisas på avin.</x:v>
      </x:c>
    </x:row>
    <x:row r="178">
      <x:c r="A178" s="24" t="n">
        <x:v>45566</x:v>
      </x:c>
      <x:c r="B178" s="25" t="str">
        <x:v>Bolån</x:v>
      </x:c>
      <x:c r="C178" s="25" t="str">
        <x:v>Stadshypotek AB</x:v>
      </x:c>
      <x:c r="D178" s="25" t="str">
        <x:v>02-279136</x:v>
      </x:c>
      <x:c r="E178" s="25" t="str">
        <x:v>20543</x:v>
      </x:c>
      <x:c r="F178" s="29" t="str">
        <x:v>HSB Brf Siljan i Stockholm, lgh 178</x:v>
      </x:c>
      <x:c r="G178" s="26" t="n">
        <x:v>160000</x:v>
      </x:c>
      <x:c r="H178" s="27" t="n">
        <x:v>0.054900000000000004</x:v>
      </x:c>
      <x:c r="I178" s="24" t="n">
        <x:v>45536</x:v>
      </x:c>
      <x:c r="J178" s="28" t="n">
        <x:v>30</x:v>
      </x:c>
      <x:c r="K178" s="26" t="n">
        <x:v>732</x:v>
      </x:c>
      <x:c r="L178" s="26" t="n">
        <x:v>0</x:v>
      </x:c>
      <x:c r="M178" s="26" t="n">
        <x:v>0</x:v>
      </x:c>
      <x:c r="N178" s="26" t="n">
        <x:f>SUM(K178:M178)</x:f>
        <x:v>732</x:v>
      </x:c>
      <x:c r="O178" s="25" t="str">
        <x:v>2024-10-01_02-279136.pdf</x:v>
      </x:c>
      <x:c r="P178" s="28" t="n">
        <x:v>1</x:v>
      </x:c>
      <x:c r="Q178" s="29" t="str">
        <x:v>Ingen amorteringsrad redovisas på avin.</x:v>
      </x:c>
    </x:row>
    <x:row r="179">
      <x:c r="A179" s="24" t="n">
        <x:v>45597</x:v>
      </x:c>
      <x:c r="B179" s="25" t="str">
        <x:v>Bolån</x:v>
      </x:c>
      <x:c r="C179" s="25" t="str">
        <x:v>Stadshypotek AB</x:v>
      </x:c>
      <x:c r="D179" s="25" t="str">
        <x:v>02-279136</x:v>
      </x:c>
      <x:c r="E179" s="25" t="str">
        <x:v>20543</x:v>
      </x:c>
      <x:c r="F179" s="29" t="str">
        <x:v>HSB Brf Siljan i Stockholm, lgh 178</x:v>
      </x:c>
      <x:c r="G179" s="26" t="n">
        <x:v>160000</x:v>
      </x:c>
      <x:c r="H179" s="27" t="n">
        <x:v>0.054900000000000004</x:v>
      </x:c>
      <x:c r="I179" s="24" t="n">
        <x:v>45566</x:v>
      </x:c>
      <x:c r="J179" s="28" t="n">
        <x:v>30</x:v>
      </x:c>
      <x:c r="K179" s="26" t="n">
        <x:v>732</x:v>
      </x:c>
      <x:c r="L179" s="26" t="n">
        <x:v>0</x:v>
      </x:c>
      <x:c r="M179" s="26" t="n">
        <x:v>0</x:v>
      </x:c>
      <x:c r="N179" s="26" t="n">
        <x:f>SUM(K179:M179)</x:f>
        <x:v>732</x:v>
      </x:c>
      <x:c r="O179" s="25" t="str">
        <x:v>2024-11-01_02-279136.pdf</x:v>
      </x:c>
      <x:c r="P179" s="28" t="n">
        <x:v>1</x:v>
      </x:c>
      <x:c r="Q179" s="29" t="str">
        <x:v>Ingen amorteringsrad redovisas på avin.</x:v>
      </x:c>
    </x:row>
    <x:row r="180">
      <x:c r="A180" s="24" t="n">
        <x:v>45627</x:v>
      </x:c>
      <x:c r="B180" s="25" t="str">
        <x:v>Bolån</x:v>
      </x:c>
      <x:c r="C180" s="25" t="str">
        <x:v>Stadshypotek AB</x:v>
      </x:c>
      <x:c r="D180" s="25" t="str">
        <x:v>02-279136</x:v>
      </x:c>
      <x:c r="E180" s="25" t="str">
        <x:v>20543</x:v>
      </x:c>
      <x:c r="F180" s="29" t="str">
        <x:v>HSB Brf Siljan i Stockholm, lgh 178</x:v>
      </x:c>
      <x:c r="G180" s="26" t="n">
        <x:v>160000</x:v>
      </x:c>
      <x:c r="H180" s="27" t="n">
        <x:v>0.054900000000000004</x:v>
      </x:c>
      <x:c r="I180" s="24" t="n">
        <x:v>45597</x:v>
      </x:c>
      <x:c r="J180" s="28" t="n">
        <x:v>30</x:v>
      </x:c>
      <x:c r="K180" s="26" t="n">
        <x:v>732</x:v>
      </x:c>
      <x:c r="L180" s="26" t="n">
        <x:v>0</x:v>
      </x:c>
      <x:c r="M180" s="26" t="n">
        <x:v>0</x:v>
      </x:c>
      <x:c r="N180" s="26" t="n">
        <x:f>SUM(K180:M180)</x:f>
        <x:v>732</x:v>
      </x:c>
      <x:c r="O180" s="25" t="str">
        <x:v>2024-12-01_02-279136.pdf</x:v>
      </x:c>
      <x:c r="P180" s="28" t="n">
        <x:v>1</x:v>
      </x:c>
      <x:c r="Q180" s="29" t="str">
        <x:v>Ingen amorteringsrad redovisas på avin.</x:v>
      </x:c>
    </x:row>
    <x:row r="181">
      <x:c r="A181" s="24" t="n">
        <x:v>45658</x:v>
      </x:c>
      <x:c r="B181" s="25" t="str">
        <x:v>Bolån</x:v>
      </x:c>
      <x:c r="C181" s="25" t="str">
        <x:v>Stadshypotek AB</x:v>
      </x:c>
      <x:c r="D181" s="25" t="str">
        <x:v>02-279136</x:v>
      </x:c>
      <x:c r="E181" s="25" t="str">
        <x:v>20543</x:v>
      </x:c>
      <x:c r="F181" s="29" t="str">
        <x:v>HSB Brf Siljan i Stockholm, lgh 178</x:v>
      </x:c>
      <x:c r="G181" s="26" t="n">
        <x:v>160000</x:v>
      </x:c>
      <x:c r="H181" s="27" t="n">
        <x:v>0.0479</x:v>
      </x:c>
      <x:c r="I181" s="24" t="n">
        <x:v>45627</x:v>
      </x:c>
      <x:c r="J181" s="28" t="n">
        <x:v>30</x:v>
      </x:c>
      <x:c r="K181" s="26" t="n">
        <x:v>639</x:v>
      </x:c>
      <x:c r="L181" s="26" t="n">
        <x:v>0</x:v>
      </x:c>
      <x:c r="M181" s="26" t="n">
        <x:v>0</x:v>
      </x:c>
      <x:c r="N181" s="26" t="n">
        <x:f>SUM(K181:M181)</x:f>
        <x:v>639</x:v>
      </x:c>
      <x:c r="O181" s="25" t="str">
        <x:v>2025-01-01_02-279136.pdf</x:v>
      </x:c>
      <x:c r="P181" s="28" t="n">
        <x:v>1</x:v>
      </x:c>
      <x:c r="Q181" s="29" t="str">
        <x:v>Ingen amorteringsrad redovisas på avin.</x:v>
      </x:c>
    </x:row>
    <x:row r="182">
      <x:c r="A182" s="24" t="n">
        <x:v>45689</x:v>
      </x:c>
      <x:c r="B182" s="25" t="str">
        <x:v>Bolån</x:v>
      </x:c>
      <x:c r="C182" s="25" t="str">
        <x:v>Stadshypotek AB</x:v>
      </x:c>
      <x:c r="D182" s="25" t="str">
        <x:v>02-279136</x:v>
      </x:c>
      <x:c r="E182" s="25" t="str">
        <x:v>20543</x:v>
      </x:c>
      <x:c r="F182" s="29" t="str">
        <x:v>HSB Brf Siljan i Stockholm, lgh 178</x:v>
      </x:c>
      <x:c r="G182" s="26" t="n">
        <x:v>160000</x:v>
      </x:c>
      <x:c r="H182" s="27" t="n">
        <x:v>0.0479</x:v>
      </x:c>
      <x:c r="I182" s="24" t="n">
        <x:v>45658</x:v>
      </x:c>
      <x:c r="J182" s="28" t="n">
        <x:v>30</x:v>
      </x:c>
      <x:c r="K182" s="26" t="n">
        <x:v>639</x:v>
      </x:c>
      <x:c r="L182" s="26" t="n">
        <x:v>0</x:v>
      </x:c>
      <x:c r="M182" s="26" t="n">
        <x:v>0</x:v>
      </x:c>
      <x:c r="N182" s="26" t="n">
        <x:f>SUM(K182:M182)</x:f>
        <x:v>639</x:v>
      </x:c>
      <x:c r="O182" s="25" t="str">
        <x:v>2025-02-01_02-279136.pdf</x:v>
      </x:c>
      <x:c r="P182" s="28" t="n">
        <x:v>1</x:v>
      </x:c>
      <x:c r="Q182" s="29" t="str">
        <x:v>Ingen amorteringsrad redovisas på avin.</x:v>
      </x:c>
    </x:row>
    <x:row r="183">
      <x:c r="A183" s="24" t="n">
        <x:v>45717</x:v>
      </x:c>
      <x:c r="B183" s="25" t="str">
        <x:v>Bolån</x:v>
      </x:c>
      <x:c r="C183" s="25" t="str">
        <x:v>Stadshypotek AB</x:v>
      </x:c>
      <x:c r="D183" s="25" t="str">
        <x:v>02-279136</x:v>
      </x:c>
      <x:c r="E183" s="25" t="str">
        <x:v>20543</x:v>
      </x:c>
      <x:c r="F183" s="29" t="str">
        <x:v>HSB Brf Siljan i Stockholm, lgh 178</x:v>
      </x:c>
      <x:c r="G183" s="26" t="n">
        <x:v>160000</x:v>
      </x:c>
      <x:c r="H183" s="27" t="n">
        <x:v>0.0479</x:v>
      </x:c>
      <x:c r="I183" s="24" t="n">
        <x:v>45689</x:v>
      </x:c>
      <x:c r="J183" s="28" t="n">
        <x:v>30</x:v>
      </x:c>
      <x:c r="K183" s="26" t="n">
        <x:v>639</x:v>
      </x:c>
      <x:c r="L183" s="26" t="n">
        <x:v>0</x:v>
      </x:c>
      <x:c r="M183" s="26" t="n">
        <x:v>0</x:v>
      </x:c>
      <x:c r="N183" s="26" t="n">
        <x:f>SUM(K183:M183)</x:f>
        <x:v>639</x:v>
      </x:c>
      <x:c r="O183" s="25" t="str">
        <x:v>2025-03-01_02-279136.pdf</x:v>
      </x:c>
      <x:c r="P183" s="28" t="n">
        <x:v>1</x:v>
      </x:c>
      <x:c r="Q183" s="29" t="str">
        <x:v>Ingen amorteringsrad redovisas på avin.</x:v>
      </x:c>
    </x:row>
    <x:row r="184">
      <x:c r="A184" s="24" t="n">
        <x:v>42491</x:v>
      </x:c>
      <x:c r="B184" s="25" t="str">
        <x:v>Bolån</x:v>
      </x:c>
      <x:c r="C184" s="25" t="str">
        <x:v>Stadshypotek AB</x:v>
      </x:c>
      <x:c r="D184" s="25" t="str">
        <x:v>02-279136</x:v>
      </x:c>
      <x:c r="E184" s="25" t="str">
        <x:v>821823</x:v>
      </x:c>
      <x:c r="F184" s="29" t="str">
        <x:v>HSB Brf Siljan i Stockholm, lgh 178</x:v>
      </x:c>
      <x:c r="G184" s="26" t="n">
        <x:v>35000</x:v>
      </x:c>
      <x:c r="H184" s="27" t="n">
        <x:v>0.0202</x:v>
      </x:c>
      <x:c r="I184" s="24" t="n">
        <x:v>42461</x:v>
      </x:c>
      <x:c r="J184" s="28" t="n">
        <x:v>30</x:v>
      </x:c>
      <x:c r="K184" s="26" t="n">
        <x:v>59</x:v>
      </x:c>
      <x:c r="L184" s="26" t="n">
        <x:v>0</x:v>
      </x:c>
      <x:c r="M184" s="26" t="n">
        <x:v>0</x:v>
      </x:c>
      <x:c r="N184" s="26" t="n">
        <x:f>SUM(K184:M184)</x:f>
        <x:v>59</x:v>
      </x:c>
      <x:c r="O184" s="25" t="str">
        <x:v>2016-05-01_02-279136.pdf</x:v>
      </x:c>
      <x:c r="P184" s="28" t="n">
        <x:v>1</x:v>
      </x:c>
      <x:c r="Q184" s="29" t="str">
        <x:v>Ingen amorteringsrad redovisas på avin.</x:v>
      </x:c>
    </x:row>
    <x:row r="185">
      <x:c r="A185" s="24" t="n">
        <x:v>42522</x:v>
      </x:c>
      <x:c r="B185" s="25" t="str">
        <x:v>Bolån</x:v>
      </x:c>
      <x:c r="C185" s="25" t="str">
        <x:v>Stadshypotek AB</x:v>
      </x:c>
      <x:c r="D185" s="25" t="str">
        <x:v>02-279136</x:v>
      </x:c>
      <x:c r="E185" s="25" t="str">
        <x:v>821823</x:v>
      </x:c>
      <x:c r="F185" s="29" t="str">
        <x:v>HSB Brf Siljan i Stockholm, lgh 178</x:v>
      </x:c>
      <x:c r="G185" s="26" t="n">
        <x:v>35000</x:v>
      </x:c>
      <x:c r="H185" s="27" t="n">
        <x:v>0.0202</x:v>
      </x:c>
      <x:c r="I185" s="24" t="n">
        <x:v>42491</x:v>
      </x:c>
      <x:c r="J185" s="28" t="n">
        <x:v>30</x:v>
      </x:c>
      <x:c r="K185" s="26" t="n">
        <x:v>59</x:v>
      </x:c>
      <x:c r="L185" s="26" t="n">
        <x:v>0</x:v>
      </x:c>
      <x:c r="M185" s="26" t="n">
        <x:v>0</x:v>
      </x:c>
      <x:c r="N185" s="26" t="n">
        <x:f>SUM(K185:M185)</x:f>
        <x:v>59</x:v>
      </x:c>
      <x:c r="O185" s="25" t="str">
        <x:v>2016-06-01_02-279136.pdf</x:v>
      </x:c>
      <x:c r="P185" s="28" t="n">
        <x:v>1</x:v>
      </x:c>
      <x:c r="Q185" s="29" t="str">
        <x:v>Ingen amorteringsrad redovisas på avin.</x:v>
      </x:c>
    </x:row>
    <x:row r="186">
      <x:c r="A186" s="24" t="n">
        <x:v>42552</x:v>
      </x:c>
      <x:c r="B186" s="25" t="str">
        <x:v>Bolån</x:v>
      </x:c>
      <x:c r="C186" s="25" t="str">
        <x:v>Stadshypotek AB</x:v>
      </x:c>
      <x:c r="D186" s="25" t="str">
        <x:v>02-279136</x:v>
      </x:c>
      <x:c r="E186" s="25" t="str">
        <x:v>821823</x:v>
      </x:c>
      <x:c r="F186" s="29" t="str">
        <x:v>HSB Brf Siljan i Stockholm, lgh 178</x:v>
      </x:c>
      <x:c r="G186" s="26" t="n">
        <x:v>35000</x:v>
      </x:c>
      <x:c r="H186" s="27" t="n">
        <x:v>0.020499999999999997</x:v>
      </x:c>
      <x:c r="I186" s="24" t="n">
        <x:v>42522</x:v>
      </x:c>
      <x:c r="J186" s="28" t="n">
        <x:v>30</x:v>
      </x:c>
      <x:c r="K186" s="26" t="n">
        <x:v>60</x:v>
      </x:c>
      <x:c r="L186" s="26" t="n">
        <x:v>0</x:v>
      </x:c>
      <x:c r="M186" s="26" t="n">
        <x:v>0</x:v>
      </x:c>
      <x:c r="N186" s="26" t="n">
        <x:f>SUM(K186:M186)</x:f>
        <x:v>60</x:v>
      </x:c>
      <x:c r="O186" s="25" t="str">
        <x:v>2016-07-01_02-279136.pdf</x:v>
      </x:c>
      <x:c r="P186" s="28" t="n">
        <x:v>1</x:v>
      </x:c>
      <x:c r="Q186" s="29" t="str">
        <x:v>Ingen amorteringsrad redovisas på avin.</x:v>
      </x:c>
    </x:row>
    <x:row r="187">
      <x:c r="A187" s="24" t="n">
        <x:v>42583</x:v>
      </x:c>
      <x:c r="B187" s="25" t="str">
        <x:v>Bolån</x:v>
      </x:c>
      <x:c r="C187" s="25" t="str">
        <x:v>Stadshypotek AB</x:v>
      </x:c>
      <x:c r="D187" s="25" t="str">
        <x:v>02-279136</x:v>
      </x:c>
      <x:c r="E187" s="25" t="str">
        <x:v>821823</x:v>
      </x:c>
      <x:c r="F187" s="29" t="str">
        <x:v>HSB Brf Siljan i Stockholm, lgh 178</x:v>
      </x:c>
      <x:c r="G187" s="26" t="n">
        <x:v>35000</x:v>
      </x:c>
      <x:c r="H187" s="27" t="n">
        <x:v>0.020499999999999997</x:v>
      </x:c>
      <x:c r="I187" s="24" t="n">
        <x:v>42552</x:v>
      </x:c>
      <x:c r="J187" s="28" t="n">
        <x:v>30</x:v>
      </x:c>
      <x:c r="K187" s="26" t="n">
        <x:v>60</x:v>
      </x:c>
      <x:c r="L187" s="26" t="n">
        <x:v>0</x:v>
      </x:c>
      <x:c r="M187" s="26" t="n">
        <x:v>0</x:v>
      </x:c>
      <x:c r="N187" s="26" t="n">
        <x:f>SUM(K187:M187)</x:f>
        <x:v>60</x:v>
      </x:c>
      <x:c r="O187" s="25" t="str">
        <x:v>2016-08-01_02-279136.pdf</x:v>
      </x:c>
      <x:c r="P187" s="28" t="n">
        <x:v>1</x:v>
      </x:c>
      <x:c r="Q187" s="29" t="str">
        <x:v>Ingen amorteringsrad redovisas på avin.</x:v>
      </x:c>
    </x:row>
    <x:row r="188">
      <x:c r="A188" s="24" t="n">
        <x:v>42614</x:v>
      </x:c>
      <x:c r="B188" s="25" t="str">
        <x:v>Bolån</x:v>
      </x:c>
      <x:c r="C188" s="25" t="str">
        <x:v>Stadshypotek AB</x:v>
      </x:c>
      <x:c r="D188" s="25" t="str">
        <x:v>02-279136</x:v>
      </x:c>
      <x:c r="E188" s="25" t="str">
        <x:v>821823</x:v>
      </x:c>
      <x:c r="F188" s="29" t="str">
        <x:v>HSB Brf Siljan i Stockholm, lgh 178</x:v>
      </x:c>
      <x:c r="G188" s="26" t="n">
        <x:v>35000</x:v>
      </x:c>
      <x:c r="H188" s="27" t="n">
        <x:v>0.020499999999999997</x:v>
      </x:c>
      <x:c r="I188" s="24" t="n">
        <x:v>42583</x:v>
      </x:c>
      <x:c r="J188" s="28" t="n">
        <x:v>30</x:v>
      </x:c>
      <x:c r="K188" s="26" t="n">
        <x:v>60</x:v>
      </x:c>
      <x:c r="L188" s="26" t="n">
        <x:v>0</x:v>
      </x:c>
      <x:c r="M188" s="26" t="n">
        <x:v>0</x:v>
      </x:c>
      <x:c r="N188" s="26" t="n">
        <x:f>SUM(K188:M188)</x:f>
        <x:v>60</x:v>
      </x:c>
      <x:c r="O188" s="25" t="str">
        <x:v>2016-09-01_02-279136.pdf</x:v>
      </x:c>
      <x:c r="P188" s="28" t="n">
        <x:v>1</x:v>
      </x:c>
      <x:c r="Q188" s="29" t="str">
        <x:v>Ingen amorteringsrad redovisas på avin.</x:v>
      </x:c>
    </x:row>
    <x:row r="189">
      <x:c r="A189" s="24" t="n">
        <x:v>42644</x:v>
      </x:c>
      <x:c r="B189" s="25" t="str">
        <x:v>Bolån</x:v>
      </x:c>
      <x:c r="C189" s="25" t="str">
        <x:v>Stadshypotek AB</x:v>
      </x:c>
      <x:c r="D189" s="25" t="str">
        <x:v>02-279136</x:v>
      </x:c>
      <x:c r="E189" s="25" t="str">
        <x:v>821823</x:v>
      </x:c>
      <x:c r="F189" s="29" t="str">
        <x:v>HSB Brf Siljan i Stockholm, lgh 178</x:v>
      </x:c>
      <x:c r="G189" s="26" t="n">
        <x:v>35000</x:v>
      </x:c>
      <x:c r="H189" s="27" t="n">
        <x:v>0.020499999999999997</x:v>
      </x:c>
      <x:c r="I189" s="24" t="n">
        <x:v>42614</x:v>
      </x:c>
      <x:c r="J189" s="28" t="n">
        <x:v>30</x:v>
      </x:c>
      <x:c r="K189" s="26" t="n">
        <x:v>60</x:v>
      </x:c>
      <x:c r="L189" s="26" t="n">
        <x:v>0</x:v>
      </x:c>
      <x:c r="M189" s="26" t="n">
        <x:v>0</x:v>
      </x:c>
      <x:c r="N189" s="26" t="n">
        <x:f>SUM(K189:M189)</x:f>
        <x:v>60</x:v>
      </x:c>
      <x:c r="O189" s="25" t="str">
        <x:v>2016-10-01_02-279136.pdf</x:v>
      </x:c>
      <x:c r="P189" s="28" t="n">
        <x:v>1</x:v>
      </x:c>
      <x:c r="Q189" s="29" t="str">
        <x:v>Ingen amorteringsrad redovisas på avin.</x:v>
      </x:c>
    </x:row>
    <x:row r="190">
      <x:c r="A190" s="24" t="n">
        <x:v>42675</x:v>
      </x:c>
      <x:c r="B190" s="25" t="str">
        <x:v>Bolån</x:v>
      </x:c>
      <x:c r="C190" s="25" t="str">
        <x:v>Stadshypotek AB</x:v>
      </x:c>
      <x:c r="D190" s="25" t="str">
        <x:v>02-279136</x:v>
      </x:c>
      <x:c r="E190" s="25" t="str">
        <x:v>821823</x:v>
      </x:c>
      <x:c r="F190" s="29" t="str">
        <x:v>HSB Brf Siljan i Stockholm, lgh 178</x:v>
      </x:c>
      <x:c r="G190" s="26" t="n">
        <x:v>35000</x:v>
      </x:c>
      <x:c r="H190" s="27" t="n">
        <x:v>0.020499999999999997</x:v>
      </x:c>
      <x:c r="I190" s="24" t="n">
        <x:v>42644</x:v>
      </x:c>
      <x:c r="J190" s="28" t="n">
        <x:v>30</x:v>
      </x:c>
      <x:c r="K190" s="26" t="n">
        <x:v>60</x:v>
      </x:c>
      <x:c r="L190" s="26" t="n">
        <x:v>0</x:v>
      </x:c>
      <x:c r="M190" s="26" t="n">
        <x:v>0</x:v>
      </x:c>
      <x:c r="N190" s="26" t="n">
        <x:f>SUM(K190:M190)</x:f>
        <x:v>60</x:v>
      </x:c>
      <x:c r="O190" s="25" t="str">
        <x:v>2016-11-01_02-279136.pdf</x:v>
      </x:c>
      <x:c r="P190" s="28" t="n">
        <x:v>1</x:v>
      </x:c>
      <x:c r="Q190" s="29" t="str">
        <x:v>Ingen amorteringsrad redovisas på avin.</x:v>
      </x:c>
    </x:row>
    <x:row r="191">
      <x:c r="A191" s="24" t="n">
        <x:v>42705</x:v>
      </x:c>
      <x:c r="B191" s="25" t="str">
        <x:v>Bolån</x:v>
      </x:c>
      <x:c r="C191" s="25" t="str">
        <x:v>Stadshypotek AB</x:v>
      </x:c>
      <x:c r="D191" s="25" t="str">
        <x:v>02-279136</x:v>
      </x:c>
      <x:c r="E191" s="25" t="str">
        <x:v>821823</x:v>
      </x:c>
      <x:c r="F191" s="29" t="str">
        <x:v>HSB Brf Siljan i Stockholm, lgh 178</x:v>
      </x:c>
      <x:c r="G191" s="26" t="n">
        <x:v>35000</x:v>
      </x:c>
      <x:c r="H191" s="27" t="n">
        <x:v>0.020499999999999997</x:v>
      </x:c>
      <x:c r="I191" s="24" t="n">
        <x:v>42675</x:v>
      </x:c>
      <x:c r="J191" s="28" t="n">
        <x:v>30</x:v>
      </x:c>
      <x:c r="K191" s="26" t="n">
        <x:v>60</x:v>
      </x:c>
      <x:c r="L191" s="26" t="n">
        <x:v>0</x:v>
      </x:c>
      <x:c r="M191" s="26" t="n">
        <x:v>0</x:v>
      </x:c>
      <x:c r="N191" s="26" t="n">
        <x:f>SUM(K191:M191)</x:f>
        <x:v>60</x:v>
      </x:c>
      <x:c r="O191" s="25" t="str">
        <x:v>2016-12-01_02-279136.pdf</x:v>
      </x:c>
      <x:c r="P191" s="28" t="n">
        <x:v>1</x:v>
      </x:c>
      <x:c r="Q191" s="29" t="str">
        <x:v>Ingen amorteringsrad redovisas på avin.</x:v>
      </x:c>
    </x:row>
    <x:row r="192">
      <x:c r="A192" s="24" t="n">
        <x:v>42736</x:v>
      </x:c>
      <x:c r="B192" s="25" t="str">
        <x:v>Bolån</x:v>
      </x:c>
      <x:c r="C192" s="25" t="str">
        <x:v>Stadshypotek AB</x:v>
      </x:c>
      <x:c r="D192" s="25" t="str">
        <x:v>02-279136</x:v>
      </x:c>
      <x:c r="E192" s="25" t="str">
        <x:v>821823</x:v>
      </x:c>
      <x:c r="F192" s="29" t="str">
        <x:v>HSB Brf Siljan i Stockholm, lgh 178</x:v>
      </x:c>
      <x:c r="G192" s="26" t="n">
        <x:v>35000</x:v>
      </x:c>
      <x:c r="H192" s="27" t="n">
        <x:v>0.020499999999999997</x:v>
      </x:c>
      <x:c r="I192" s="24" t="n">
        <x:v>42705</x:v>
      </x:c>
      <x:c r="J192" s="28" t="n">
        <x:v>30</x:v>
      </x:c>
      <x:c r="K192" s="26" t="n">
        <x:v>60</x:v>
      </x:c>
      <x:c r="L192" s="26" t="n">
        <x:v>0</x:v>
      </x:c>
      <x:c r="M192" s="26" t="n">
        <x:v>0</x:v>
      </x:c>
      <x:c r="N192" s="26" t="n">
        <x:f>SUM(K192:M192)</x:f>
        <x:v>60</x:v>
      </x:c>
      <x:c r="O192" s="25" t="str">
        <x:v>2017-01-01_02-279136.pdf</x:v>
      </x:c>
      <x:c r="P192" s="28" t="n">
        <x:v>1</x:v>
      </x:c>
      <x:c r="Q192" s="29" t="str">
        <x:v>Ingen amorteringsrad redovisas på avin.</x:v>
      </x:c>
    </x:row>
    <x:row r="193">
      <x:c r="A193" s="24" t="n">
        <x:v>42767</x:v>
      </x:c>
      <x:c r="B193" s="25" t="str">
        <x:v>Bolån</x:v>
      </x:c>
      <x:c r="C193" s="25" t="str">
        <x:v>Stadshypotek AB</x:v>
      </x:c>
      <x:c r="D193" s="25" t="str">
        <x:v>02-279136</x:v>
      </x:c>
      <x:c r="E193" s="25" t="str">
        <x:v>821823</x:v>
      </x:c>
      <x:c r="F193" s="29" t="str">
        <x:v>HSB Brf Siljan i Stockholm, lgh 178</x:v>
      </x:c>
      <x:c r="G193" s="26" t="n">
        <x:v>35000</x:v>
      </x:c>
      <x:c r="H193" s="27" t="n">
        <x:v>0.020499999999999997</x:v>
      </x:c>
      <x:c r="I193" s="24" t="n">
        <x:v>42736</x:v>
      </x:c>
      <x:c r="J193" s="28" t="n">
        <x:v>30</x:v>
      </x:c>
      <x:c r="K193" s="26" t="n">
        <x:v>60</x:v>
      </x:c>
      <x:c r="L193" s="26" t="n">
        <x:v>0</x:v>
      </x:c>
      <x:c r="M193" s="26" t="n">
        <x:v>0</x:v>
      </x:c>
      <x:c r="N193" s="26" t="n">
        <x:f>SUM(K193:M193)</x:f>
        <x:v>60</x:v>
      </x:c>
      <x:c r="O193" s="25" t="str">
        <x:v>2017-02-01_02-279136.pdf</x:v>
      </x:c>
      <x:c r="P193" s="28" t="n">
        <x:v>1</x:v>
      </x:c>
      <x:c r="Q193" s="29" t="str">
        <x:v>Ingen amorteringsrad redovisas på avin.</x:v>
      </x:c>
    </x:row>
    <x:row r="194">
      <x:c r="A194" s="24" t="n">
        <x:v>42795</x:v>
      </x:c>
      <x:c r="B194" s="25" t="str">
        <x:v>Bolån</x:v>
      </x:c>
      <x:c r="C194" s="25" t="str">
        <x:v>Stadshypotek AB</x:v>
      </x:c>
      <x:c r="D194" s="25" t="str">
        <x:v>02-279136</x:v>
      </x:c>
      <x:c r="E194" s="25" t="str">
        <x:v>821823</x:v>
      </x:c>
      <x:c r="F194" s="29" t="str">
        <x:v>HSB Brf Siljan i Stockholm, lgh 178</x:v>
      </x:c>
      <x:c r="G194" s="26" t="n">
        <x:v>35000</x:v>
      </x:c>
      <x:c r="H194" s="27" t="n">
        <x:v>0.020499999999999997</x:v>
      </x:c>
      <x:c r="I194" s="24" t="n">
        <x:v>42767</x:v>
      </x:c>
      <x:c r="J194" s="28" t="n">
        <x:v>30</x:v>
      </x:c>
      <x:c r="K194" s="26" t="n">
        <x:v>60</x:v>
      </x:c>
      <x:c r="L194" s="26" t="n">
        <x:v>0</x:v>
      </x:c>
      <x:c r="M194" s="26" t="n">
        <x:v>0</x:v>
      </x:c>
      <x:c r="N194" s="26" t="n">
        <x:f>SUM(K194:M194)</x:f>
        <x:v>60</x:v>
      </x:c>
      <x:c r="O194" s="25" t="str">
        <x:v>2017-03-01_02-279136.pdf</x:v>
      </x:c>
      <x:c r="P194" s="28" t="n">
        <x:v>1</x:v>
      </x:c>
      <x:c r="Q194" s="29" t="str">
        <x:v>Ingen amorteringsrad redovisas på avin.</x:v>
      </x:c>
    </x:row>
    <x:row r="195">
      <x:c r="A195" s="24" t="n">
        <x:v>42826</x:v>
      </x:c>
      <x:c r="B195" s="25" t="str">
        <x:v>Bolån</x:v>
      </x:c>
      <x:c r="C195" s="25" t="str">
        <x:v>Stadshypotek AB</x:v>
      </x:c>
      <x:c r="D195" s="25" t="str">
        <x:v>02-279136</x:v>
      </x:c>
      <x:c r="E195" s="25" t="str">
        <x:v>821823</x:v>
      </x:c>
      <x:c r="F195" s="29" t="str">
        <x:v>HSB Brf Siljan i Stockholm, lgh 178</x:v>
      </x:c>
      <x:c r="G195" s="26" t="n">
        <x:v>35000</x:v>
      </x:c>
      <x:c r="H195" s="27" t="n">
        <x:v>0.020499999999999997</x:v>
      </x:c>
      <x:c r="I195" s="24" t="n">
        <x:v>42795</x:v>
      </x:c>
      <x:c r="J195" s="28" t="n">
        <x:v>30</x:v>
      </x:c>
      <x:c r="K195" s="26" t="n">
        <x:v>60</x:v>
      </x:c>
      <x:c r="L195" s="26" t="n">
        <x:v>0</x:v>
      </x:c>
      <x:c r="M195" s="26" t="n">
        <x:v>0</x:v>
      </x:c>
      <x:c r="N195" s="26" t="n">
        <x:f>SUM(K195:M195)</x:f>
        <x:v>60</x:v>
      </x:c>
      <x:c r="O195" s="25" t="str">
        <x:v>2017-04-01_02-279136.pdf</x:v>
      </x:c>
      <x:c r="P195" s="28" t="n">
        <x:v>1</x:v>
      </x:c>
      <x:c r="Q195" s="29" t="str">
        <x:v>Ingen amorteringsrad redovisas på avin.</x:v>
      </x:c>
    </x:row>
    <x:row r="196">
      <x:c r="A196" s="24" t="n">
        <x:v>42856</x:v>
      </x:c>
      <x:c r="B196" s="25" t="str">
        <x:v>Bolån</x:v>
      </x:c>
      <x:c r="C196" s="25" t="str">
        <x:v>Stadshypotek AB</x:v>
      </x:c>
      <x:c r="D196" s="25" t="str">
        <x:v>02-279136</x:v>
      </x:c>
      <x:c r="E196" s="25" t="str">
        <x:v>821823</x:v>
      </x:c>
      <x:c r="F196" s="29" t="str">
        <x:v>HSB Brf Siljan i Stockholm, lgh 178</x:v>
      </x:c>
      <x:c r="G196" s="26" t="n">
        <x:v>35000</x:v>
      </x:c>
      <x:c r="H196" s="27" t="n">
        <x:v>0.020499999999999997</x:v>
      </x:c>
      <x:c r="I196" s="24" t="n">
        <x:v>42826</x:v>
      </x:c>
      <x:c r="J196" s="28" t="n">
        <x:v>30</x:v>
      </x:c>
      <x:c r="K196" s="26" t="n">
        <x:v>60</x:v>
      </x:c>
      <x:c r="L196" s="26" t="n">
        <x:v>0</x:v>
      </x:c>
      <x:c r="M196" s="26" t="n">
        <x:v>0</x:v>
      </x:c>
      <x:c r="N196" s="26" t="n">
        <x:f>SUM(K196:M196)</x:f>
        <x:v>60</x:v>
      </x:c>
      <x:c r="O196" s="25" t="str">
        <x:v>2017-05-01_02-279136.pdf</x:v>
      </x:c>
      <x:c r="P196" s="28" t="n">
        <x:v>1</x:v>
      </x:c>
      <x:c r="Q196" s="29" t="str">
        <x:v>Ingen amorteringsrad redovisas på avin.</x:v>
      </x:c>
    </x:row>
    <x:row r="197">
      <x:c r="A197" s="24" t="n">
        <x:v>42887</x:v>
      </x:c>
      <x:c r="B197" s="25" t="str">
        <x:v>Bolån</x:v>
      </x:c>
      <x:c r="C197" s="25" t="str">
        <x:v>Stadshypotek AB</x:v>
      </x:c>
      <x:c r="D197" s="25" t="str">
        <x:v>02-279136</x:v>
      </x:c>
      <x:c r="E197" s="25" t="str">
        <x:v>821823</x:v>
      </x:c>
      <x:c r="F197" s="29" t="str">
        <x:v>HSB Brf Siljan i Stockholm, lgh 178</x:v>
      </x:c>
      <x:c r="G197" s="26" t="n">
        <x:v>35000</x:v>
      </x:c>
      <x:c r="H197" s="27" t="n">
        <x:v>0.020499999999999997</x:v>
      </x:c>
      <x:c r="I197" s="24" t="n">
        <x:v>42856</x:v>
      </x:c>
      <x:c r="J197" s="28" t="n">
        <x:v>30</x:v>
      </x:c>
      <x:c r="K197" s="26" t="n">
        <x:v>60</x:v>
      </x:c>
      <x:c r="L197" s="26" t="n">
        <x:v>0</x:v>
      </x:c>
      <x:c r="M197" s="26" t="n">
        <x:v>0</x:v>
      </x:c>
      <x:c r="N197" s="26" t="n">
        <x:f>SUM(K197:M197)</x:f>
        <x:v>60</x:v>
      </x:c>
      <x:c r="O197" s="25" t="str">
        <x:v>2017-06-01_02-279136.pdf</x:v>
      </x:c>
      <x:c r="P197" s="28" t="n">
        <x:v>1</x:v>
      </x:c>
      <x:c r="Q197" s="29" t="str">
        <x:v>Ingen amorteringsrad redovisas på avin.</x:v>
      </x:c>
    </x:row>
    <x:row r="198">
      <x:c r="A198" s="24" t="n">
        <x:v>42917</x:v>
      </x:c>
      <x:c r="B198" s="25" t="str">
        <x:v>Bolån</x:v>
      </x:c>
      <x:c r="C198" s="25" t="str">
        <x:v>Stadshypotek AB</x:v>
      </x:c>
      <x:c r="D198" s="25" t="str">
        <x:v>02-279136</x:v>
      </x:c>
      <x:c r="E198" s="25" t="str">
        <x:v>821823</x:v>
      </x:c>
      <x:c r="F198" s="29" t="str">
        <x:v>HSB Brf Siljan i Stockholm, lgh 178</x:v>
      </x:c>
      <x:c r="G198" s="26" t="n">
        <x:v>35000</x:v>
      </x:c>
      <x:c r="H198" s="27" t="n">
        <x:v>0.020499999999999997</x:v>
      </x:c>
      <x:c r="I198" s="24" t="n">
        <x:v>42887</x:v>
      </x:c>
      <x:c r="J198" s="28" t="n">
        <x:v>30</x:v>
      </x:c>
      <x:c r="K198" s="26" t="n">
        <x:v>60</x:v>
      </x:c>
      <x:c r="L198" s="26" t="n">
        <x:v>0</x:v>
      </x:c>
      <x:c r="M198" s="26" t="n">
        <x:v>0</x:v>
      </x:c>
      <x:c r="N198" s="26" t="n">
        <x:f>SUM(K198:M198)</x:f>
        <x:v>60</x:v>
      </x:c>
      <x:c r="O198" s="25" t="str">
        <x:v>2017-07-01_02-279136.pdf</x:v>
      </x:c>
      <x:c r="P198" s="28" t="n">
        <x:v>1</x:v>
      </x:c>
      <x:c r="Q198" s="29" t="str">
        <x:v>Ingen amorteringsrad redovisas på avin.</x:v>
      </x:c>
    </x:row>
    <x:row r="199">
      <x:c r="A199" s="24" t="n">
        <x:v>42948</x:v>
      </x:c>
      <x:c r="B199" s="25" t="str">
        <x:v>Bolån</x:v>
      </x:c>
      <x:c r="C199" s="25" t="str">
        <x:v>Stadshypotek AB</x:v>
      </x:c>
      <x:c r="D199" s="25" t="str">
        <x:v>02-279136</x:v>
      </x:c>
      <x:c r="E199" s="25" t="str">
        <x:v>821823</x:v>
      </x:c>
      <x:c r="F199" s="29" t="str">
        <x:v>HSB Brf Siljan i Stockholm, lgh 178</x:v>
      </x:c>
      <x:c r="G199" s="26" t="n">
        <x:v>35000</x:v>
      </x:c>
      <x:c r="H199" s="27" t="n">
        <x:v>0.020499999999999997</x:v>
      </x:c>
      <x:c r="I199" s="24" t="n">
        <x:v>42917</x:v>
      </x:c>
      <x:c r="J199" s="28" t="n">
        <x:v>30</x:v>
      </x:c>
      <x:c r="K199" s="26" t="n">
        <x:v>60</x:v>
      </x:c>
      <x:c r="L199" s="26" t="n">
        <x:v>0</x:v>
      </x:c>
      <x:c r="M199" s="26" t="n">
        <x:v>0</x:v>
      </x:c>
      <x:c r="N199" s="26" t="n">
        <x:f>SUM(K199:M199)</x:f>
        <x:v>60</x:v>
      </x:c>
      <x:c r="O199" s="25" t="str">
        <x:v>2017-08-01_02-279136.pdf</x:v>
      </x:c>
      <x:c r="P199" s="28" t="n">
        <x:v>1</x:v>
      </x:c>
      <x:c r="Q199" s="29" t="str">
        <x:v>Ingen amorteringsrad redovisas på avin.</x:v>
      </x:c>
    </x:row>
    <x:row r="200">
      <x:c r="A200" s="24" t="n">
        <x:v>42979</x:v>
      </x:c>
      <x:c r="B200" s="25" t="str">
        <x:v>Bolån</x:v>
      </x:c>
      <x:c r="C200" s="25" t="str">
        <x:v>Stadshypotek AB</x:v>
      </x:c>
      <x:c r="D200" s="25" t="str">
        <x:v>02-279136</x:v>
      </x:c>
      <x:c r="E200" s="25" t="str">
        <x:v>821823</x:v>
      </x:c>
      <x:c r="F200" s="29" t="str">
        <x:v>HSB Brf Siljan i Stockholm, lgh 178</x:v>
      </x:c>
      <x:c r="G200" s="26" t="n">
        <x:v>35000</x:v>
      </x:c>
      <x:c r="H200" s="27" t="n">
        <x:v>0.020499999999999997</x:v>
      </x:c>
      <x:c r="I200" s="24" t="n">
        <x:v>42948</x:v>
      </x:c>
      <x:c r="J200" s="28" t="n">
        <x:v>30</x:v>
      </x:c>
      <x:c r="K200" s="26" t="n">
        <x:v>60</x:v>
      </x:c>
      <x:c r="L200" s="26" t="n">
        <x:v>0</x:v>
      </x:c>
      <x:c r="M200" s="26" t="n">
        <x:v>0</x:v>
      </x:c>
      <x:c r="N200" s="26" t="n">
        <x:f>SUM(K200:M200)</x:f>
        <x:v>60</x:v>
      </x:c>
      <x:c r="O200" s="25" t="str">
        <x:v>2017-09-01_02-279136.pdf</x:v>
      </x:c>
      <x:c r="P200" s="28" t="n">
        <x:v>1</x:v>
      </x:c>
      <x:c r="Q200" s="29" t="str">
        <x:v>Ingen amorteringsrad redovisas på avin.</x:v>
      </x:c>
    </x:row>
    <x:row r="201">
      <x:c r="A201" s="24" t="n">
        <x:v>43009</x:v>
      </x:c>
      <x:c r="B201" s="25" t="str">
        <x:v>Bolån</x:v>
      </x:c>
      <x:c r="C201" s="25" t="str">
        <x:v>Stadshypotek AB</x:v>
      </x:c>
      <x:c r="D201" s="25" t="str">
        <x:v>02-279136</x:v>
      </x:c>
      <x:c r="E201" s="25" t="str">
        <x:v>821823</x:v>
      </x:c>
      <x:c r="F201" s="29" t="str">
        <x:v>HSB Brf Siljan i Stockholm, lgh 178</x:v>
      </x:c>
      <x:c r="G201" s="26" t="n">
        <x:v>35000</x:v>
      </x:c>
      <x:c r="H201" s="27" t="n">
        <x:v>0.020499999999999997</x:v>
      </x:c>
      <x:c r="I201" s="24" t="n">
        <x:v>42979</x:v>
      </x:c>
      <x:c r="J201" s="28" t="n">
        <x:v>30</x:v>
      </x:c>
      <x:c r="K201" s="26" t="n">
        <x:v>60</x:v>
      </x:c>
      <x:c r="L201" s="26" t="n">
        <x:v>0</x:v>
      </x:c>
      <x:c r="M201" s="26" t="n">
        <x:v>0</x:v>
      </x:c>
      <x:c r="N201" s="26" t="n">
        <x:f>SUM(K201:M201)</x:f>
        <x:v>60</x:v>
      </x:c>
      <x:c r="O201" s="25" t="str">
        <x:v>2017-10-01_02-279136.pdf</x:v>
      </x:c>
      <x:c r="P201" s="28" t="n">
        <x:v>1</x:v>
      </x:c>
      <x:c r="Q201" s="29" t="str">
        <x:v>Ingen amorteringsrad redovisas på avin.</x:v>
      </x:c>
    </x:row>
    <x:row r="202">
      <x:c r="A202" s="24" t="n">
        <x:v>43040</x:v>
      </x:c>
      <x:c r="B202" s="25" t="str">
        <x:v>Bolån</x:v>
      </x:c>
      <x:c r="C202" s="25" t="str">
        <x:v>Stadshypotek AB</x:v>
      </x:c>
      <x:c r="D202" s="25" t="str">
        <x:v>02-279136</x:v>
      </x:c>
      <x:c r="E202" s="25" t="str">
        <x:v>821823</x:v>
      </x:c>
      <x:c r="F202" s="29" t="str">
        <x:v>HSB Brf Siljan i Stockholm, lgh 178</x:v>
      </x:c>
      <x:c r="G202" s="26" t="n">
        <x:v>35000</x:v>
      </x:c>
      <x:c r="H202" s="27" t="n">
        <x:v>0.020499999999999997</x:v>
      </x:c>
      <x:c r="I202" s="24" t="n">
        <x:v>43009</x:v>
      </x:c>
      <x:c r="J202" s="28" t="n">
        <x:v>30</x:v>
      </x:c>
      <x:c r="K202" s="26" t="n">
        <x:v>60</x:v>
      </x:c>
      <x:c r="L202" s="26" t="n">
        <x:v>0</x:v>
      </x:c>
      <x:c r="M202" s="26" t="n">
        <x:v>0</x:v>
      </x:c>
      <x:c r="N202" s="26" t="n">
        <x:f>SUM(K202:M202)</x:f>
        <x:v>60</x:v>
      </x:c>
      <x:c r="O202" s="25" t="str">
        <x:v>2017-11-01_02-279136.pdf</x:v>
      </x:c>
      <x:c r="P202" s="28" t="n">
        <x:v>1</x:v>
      </x:c>
      <x:c r="Q202" s="29" t="str">
        <x:v>Ingen amorteringsrad redovisas på avin.</x:v>
      </x:c>
    </x:row>
    <x:row r="203">
      <x:c r="A203" s="24" t="n">
        <x:v>43070</x:v>
      </x:c>
      <x:c r="B203" s="25" t="str">
        <x:v>Bolån</x:v>
      </x:c>
      <x:c r="C203" s="25" t="str">
        <x:v>Stadshypotek AB</x:v>
      </x:c>
      <x:c r="D203" s="25" t="str">
        <x:v>02-279136</x:v>
      </x:c>
      <x:c r="E203" s="25" t="str">
        <x:v>821823</x:v>
      </x:c>
      <x:c r="F203" s="29" t="str">
        <x:v>HSB Brf Siljan i Stockholm, lgh 178</x:v>
      </x:c>
      <x:c r="G203" s="26" t="n">
        <x:v>35000</x:v>
      </x:c>
      <x:c r="H203" s="27" t="n">
        <x:v>0.020499999999999997</x:v>
      </x:c>
      <x:c r="I203" s="24" t="n">
        <x:v>43040</x:v>
      </x:c>
      <x:c r="J203" s="28" t="n">
        <x:v>30</x:v>
      </x:c>
      <x:c r="K203" s="26" t="n">
        <x:v>60</x:v>
      </x:c>
      <x:c r="L203" s="26" t="n">
        <x:v>0</x:v>
      </x:c>
      <x:c r="M203" s="26" t="n">
        <x:v>0</x:v>
      </x:c>
      <x:c r="N203" s="26" t="n">
        <x:f>SUM(K203:M203)</x:f>
        <x:v>60</x:v>
      </x:c>
      <x:c r="O203" s="25" t="str">
        <x:v>2017-12-01_02-279136.pdf</x:v>
      </x:c>
      <x:c r="P203" s="28" t="n">
        <x:v>1</x:v>
      </x:c>
      <x:c r="Q203" s="29" t="str">
        <x:v>Ingen amorteringsrad redovisas på avin.</x:v>
      </x:c>
    </x:row>
    <x:row r="204">
      <x:c r="A204" s="24" t="n">
        <x:v>43101</x:v>
      </x:c>
      <x:c r="B204" s="25" t="str">
        <x:v>Bolån</x:v>
      </x:c>
      <x:c r="C204" s="25" t="str">
        <x:v>Stadshypotek AB</x:v>
      </x:c>
      <x:c r="D204" s="25" t="str">
        <x:v>02-279136</x:v>
      </x:c>
      <x:c r="E204" s="25" t="str">
        <x:v>821823</x:v>
      </x:c>
      <x:c r="F204" s="29" t="str">
        <x:v>HSB Brf Siljan i Stockholm, lgh 178</x:v>
      </x:c>
      <x:c r="G204" s="26" t="n">
        <x:v>35000</x:v>
      </x:c>
      <x:c r="H204" s="27" t="n">
        <x:v>0.020499999999999997</x:v>
      </x:c>
      <x:c r="I204" s="24" t="n">
        <x:v>43070</x:v>
      </x:c>
      <x:c r="J204" s="28" t="n">
        <x:v>30</x:v>
      </x:c>
      <x:c r="K204" s="26" t="n">
        <x:v>60</x:v>
      </x:c>
      <x:c r="L204" s="26" t="n">
        <x:v>0</x:v>
      </x:c>
      <x:c r="M204" s="26" t="n">
        <x:v>0</x:v>
      </x:c>
      <x:c r="N204" s="26" t="n">
        <x:f>SUM(K204:M204)</x:f>
        <x:v>60</x:v>
      </x:c>
      <x:c r="O204" s="25" t="str">
        <x:v>2018-01-01_02-279136.pdf</x:v>
      </x:c>
      <x:c r="P204" s="28" t="n">
        <x:v>1</x:v>
      </x:c>
      <x:c r="Q204" s="29" t="str">
        <x:v>Ingen amorteringsrad redovisas på avin.</x:v>
      </x:c>
    </x:row>
    <x:row r="205">
      <x:c r="A205" s="24" t="n">
        <x:v>43132</x:v>
      </x:c>
      <x:c r="B205" s="25" t="str">
        <x:v>Bolån</x:v>
      </x:c>
      <x:c r="C205" s="25" t="str">
        <x:v>Stadshypotek AB</x:v>
      </x:c>
      <x:c r="D205" s="25" t="str">
        <x:v>02-279136</x:v>
      </x:c>
      <x:c r="E205" s="25" t="str">
        <x:v>821823</x:v>
      </x:c>
      <x:c r="F205" s="29" t="str">
        <x:v>HSB Brf Siljan i Stockholm, lgh 178</x:v>
      </x:c>
      <x:c r="G205" s="26" t="n">
        <x:v>35000</x:v>
      </x:c>
      <x:c r="H205" s="27" t="n">
        <x:v>0.020499999999999997</x:v>
      </x:c>
      <x:c r="I205" s="24" t="n">
        <x:v>43101</x:v>
      </x:c>
      <x:c r="J205" s="28" t="n">
        <x:v>30</x:v>
      </x:c>
      <x:c r="K205" s="26" t="n">
        <x:v>60</x:v>
      </x:c>
      <x:c r="L205" s="26" t="n">
        <x:v>0</x:v>
      </x:c>
      <x:c r="M205" s="26" t="n">
        <x:v>0</x:v>
      </x:c>
      <x:c r="N205" s="26" t="n">
        <x:f>SUM(K205:M205)</x:f>
        <x:v>60</x:v>
      </x:c>
      <x:c r="O205" s="25" t="str">
        <x:v>2018-02-01_02-279136.pdf</x:v>
      </x:c>
      <x:c r="P205" s="28" t="n">
        <x:v>1</x:v>
      </x:c>
      <x:c r="Q205" s="29" t="str">
        <x:v>Ingen amorteringsrad redovisas på avin.</x:v>
      </x:c>
    </x:row>
    <x:row r="206">
      <x:c r="A206" s="24" t="n">
        <x:v>43160</x:v>
      </x:c>
      <x:c r="B206" s="25" t="str">
        <x:v>Bolån</x:v>
      </x:c>
      <x:c r="C206" s="25" t="str">
        <x:v>Stadshypotek AB</x:v>
      </x:c>
      <x:c r="D206" s="25" t="str">
        <x:v>02-279136</x:v>
      </x:c>
      <x:c r="E206" s="25" t="str">
        <x:v>821823</x:v>
      </x:c>
      <x:c r="F206" s="29" t="str">
        <x:v>HSB Brf Siljan i Stockholm, lgh 178</x:v>
      </x:c>
      <x:c r="G206" s="26" t="n">
        <x:v>35000</x:v>
      </x:c>
      <x:c r="H206" s="27" t="n">
        <x:v>0.020499999999999997</x:v>
      </x:c>
      <x:c r="I206" s="24" t="n">
        <x:v>43132</x:v>
      </x:c>
      <x:c r="J206" s="28" t="n">
        <x:v>30</x:v>
      </x:c>
      <x:c r="K206" s="26" t="n">
        <x:v>60</x:v>
      </x:c>
      <x:c r="L206" s="26" t="n">
        <x:v>0</x:v>
      </x:c>
      <x:c r="M206" s="26" t="n">
        <x:v>0</x:v>
      </x:c>
      <x:c r="N206" s="26" t="n">
        <x:f>SUM(K206:M206)</x:f>
        <x:v>60</x:v>
      </x:c>
      <x:c r="O206" s="25" t="str">
        <x:v>2018-03-01_02-279136.pdf</x:v>
      </x:c>
      <x:c r="P206" s="28" t="n">
        <x:v>1</x:v>
      </x:c>
      <x:c r="Q206" s="29" t="str">
        <x:v>Ingen amorteringsrad redovisas på avin.</x:v>
      </x:c>
    </x:row>
    <x:row r="207">
      <x:c r="A207" s="24" t="n">
        <x:v>43191</x:v>
      </x:c>
      <x:c r="B207" s="25" t="str">
        <x:v>Bolån</x:v>
      </x:c>
      <x:c r="C207" s="25" t="str">
        <x:v>Stadshypotek AB</x:v>
      </x:c>
      <x:c r="D207" s="25" t="str">
        <x:v>02-279136</x:v>
      </x:c>
      <x:c r="E207" s="25" t="str">
        <x:v>821823</x:v>
      </x:c>
      <x:c r="F207" s="29" t="str">
        <x:v>HSB Brf Siljan i Stockholm, lgh 178</x:v>
      </x:c>
      <x:c r="G207" s="26" t="n">
        <x:v>35000</x:v>
      </x:c>
      <x:c r="H207" s="27" t="n">
        <x:v>0.020499999999999997</x:v>
      </x:c>
      <x:c r="I207" s="24" t="n">
        <x:v>43160</x:v>
      </x:c>
      <x:c r="J207" s="28" t="n">
        <x:v>30</x:v>
      </x:c>
      <x:c r="K207" s="26" t="n">
        <x:v>60</x:v>
      </x:c>
      <x:c r="L207" s="26" t="n">
        <x:v>0</x:v>
      </x:c>
      <x:c r="M207" s="26" t="n">
        <x:v>0</x:v>
      </x:c>
      <x:c r="N207" s="26" t="n">
        <x:f>SUM(K207:M207)</x:f>
        <x:v>60</x:v>
      </x:c>
      <x:c r="O207" s="25" t="str">
        <x:v>2018-04-01_02-279136.pdf</x:v>
      </x:c>
      <x:c r="P207" s="28" t="n">
        <x:v>1</x:v>
      </x:c>
      <x:c r="Q207" s="29" t="str">
        <x:v>Ingen amorteringsrad redovisas på avin.</x:v>
      </x:c>
    </x:row>
    <x:row r="208">
      <x:c r="A208" s="24" t="n">
        <x:v>43221</x:v>
      </x:c>
      <x:c r="B208" s="25" t="str">
        <x:v>Bolån</x:v>
      </x:c>
      <x:c r="C208" s="25" t="str">
        <x:v>Stadshypotek AB</x:v>
      </x:c>
      <x:c r="D208" s="25" t="str">
        <x:v>02-279136</x:v>
      </x:c>
      <x:c r="E208" s="25" t="str">
        <x:v>821823</x:v>
      </x:c>
      <x:c r="F208" s="29" t="str">
        <x:v>HSB Brf Siljan i Stockholm, lgh 178</x:v>
      </x:c>
      <x:c r="G208" s="26" t="n">
        <x:v>35000</x:v>
      </x:c>
      <x:c r="H208" s="27" t="n">
        <x:v>0.020499999999999997</x:v>
      </x:c>
      <x:c r="I208" s="24" t="n">
        <x:v>43191</x:v>
      </x:c>
      <x:c r="J208" s="28" t="n">
        <x:v>30</x:v>
      </x:c>
      <x:c r="K208" s="26" t="n">
        <x:v>60</x:v>
      </x:c>
      <x:c r="L208" s="26" t="n">
        <x:v>0</x:v>
      </x:c>
      <x:c r="M208" s="26" t="n">
        <x:v>0</x:v>
      </x:c>
      <x:c r="N208" s="26" t="n">
        <x:f>SUM(K208:M208)</x:f>
        <x:v>60</x:v>
      </x:c>
      <x:c r="O208" s="25" t="str">
        <x:v>2018-05-01_02-279136.pdf</x:v>
      </x:c>
      <x:c r="P208" s="28" t="n">
        <x:v>1</x:v>
      </x:c>
      <x:c r="Q208" s="29" t="str">
        <x:v>Ingen amorteringsrad redovisas på avin.</x:v>
      </x:c>
    </x:row>
    <x:row r="209">
      <x:c r="A209" s="24" t="n">
        <x:v>43252</x:v>
      </x:c>
      <x:c r="B209" s="25" t="str">
        <x:v>Bolån</x:v>
      </x:c>
      <x:c r="C209" s="25" t="str">
        <x:v>Stadshypotek AB</x:v>
      </x:c>
      <x:c r="D209" s="25" t="str">
        <x:v>02-279136</x:v>
      </x:c>
      <x:c r="E209" s="25" t="str">
        <x:v>821823</x:v>
      </x:c>
      <x:c r="F209" s="29" t="str">
        <x:v>HSB Brf Siljan i Stockholm, lgh 178</x:v>
      </x:c>
      <x:c r="G209" s="26" t="n">
        <x:v>35000</x:v>
      </x:c>
      <x:c r="H209" s="27" t="n">
        <x:v>0.020499999999999997</x:v>
      </x:c>
      <x:c r="I209" s="24" t="n">
        <x:v>43221</x:v>
      </x:c>
      <x:c r="J209" s="28" t="n">
        <x:v>30</x:v>
      </x:c>
      <x:c r="K209" s="26" t="n">
        <x:v>60</x:v>
      </x:c>
      <x:c r="L209" s="26" t="n">
        <x:v>0</x:v>
      </x:c>
      <x:c r="M209" s="26" t="n">
        <x:v>0</x:v>
      </x:c>
      <x:c r="N209" s="26" t="n">
        <x:f>SUM(K209:M209)</x:f>
        <x:v>60</x:v>
      </x:c>
      <x:c r="O209" s="25" t="str">
        <x:v>2018-06-01_02-279136.pdf</x:v>
      </x:c>
      <x:c r="P209" s="28" t="n">
        <x:v>1</x:v>
      </x:c>
      <x:c r="Q209" s="29" t="str">
        <x:v>Ingen amorteringsrad redovisas på avin.</x:v>
      </x:c>
    </x:row>
    <x:row r="210">
      <x:c r="A210" s="24" t="n">
        <x:v>43282</x:v>
      </x:c>
      <x:c r="B210" s="25" t="str">
        <x:v>Bolån</x:v>
      </x:c>
      <x:c r="C210" s="25" t="str">
        <x:v>Stadshypotek AB</x:v>
      </x:c>
      <x:c r="D210" s="25" t="str">
        <x:v>02-279136</x:v>
      </x:c>
      <x:c r="E210" s="25" t="str">
        <x:v>821823</x:v>
      </x:c>
      <x:c r="F210" s="29" t="str">
        <x:v>HSB Brf Siljan i Stockholm, lgh 178</x:v>
      </x:c>
      <x:c r="G210" s="26" t="n">
        <x:v>35000</x:v>
      </x:c>
      <x:c r="H210" s="27" t="n">
        <x:v>0.020499999999999997</x:v>
      </x:c>
      <x:c r="I210" s="24" t="n">
        <x:v>43252</x:v>
      </x:c>
      <x:c r="J210" s="28" t="n">
        <x:v>30</x:v>
      </x:c>
      <x:c r="K210" s="26" t="n">
        <x:v>60</x:v>
      </x:c>
      <x:c r="L210" s="26" t="n">
        <x:v>0</x:v>
      </x:c>
      <x:c r="M210" s="26" t="n">
        <x:v>0</x:v>
      </x:c>
      <x:c r="N210" s="26" t="n">
        <x:f>SUM(K210:M210)</x:f>
        <x:v>60</x:v>
      </x:c>
      <x:c r="O210" s="25" t="str">
        <x:v>2018-07-01_02-279136.pdf</x:v>
      </x:c>
      <x:c r="P210" s="28" t="n">
        <x:v>1</x:v>
      </x:c>
      <x:c r="Q210" s="29" t="str">
        <x:v>Ingen amorteringsrad redovisas på avin.</x:v>
      </x:c>
    </x:row>
    <x:row r="211">
      <x:c r="A211" s="24" t="n">
        <x:v>43313</x:v>
      </x:c>
      <x:c r="B211" s="25" t="str">
        <x:v>Bolån</x:v>
      </x:c>
      <x:c r="C211" s="25" t="str">
        <x:v>Stadshypotek AB</x:v>
      </x:c>
      <x:c r="D211" s="25" t="str">
        <x:v>02-279136</x:v>
      </x:c>
      <x:c r="E211" s="25" t="str">
        <x:v>821823</x:v>
      </x:c>
      <x:c r="F211" s="29" t="str">
        <x:v>HSB Brf Siljan i Stockholm, lgh 178</x:v>
      </x:c>
      <x:c r="G211" s="26" t="n">
        <x:v>35000</x:v>
      </x:c>
      <x:c r="H211" s="27" t="n">
        <x:v>0.020499999999999997</x:v>
      </x:c>
      <x:c r="I211" s="24" t="n">
        <x:v>43282</x:v>
      </x:c>
      <x:c r="J211" s="28" t="n">
        <x:v>30</x:v>
      </x:c>
      <x:c r="K211" s="26" t="n">
        <x:v>60</x:v>
      </x:c>
      <x:c r="L211" s="26" t="n">
        <x:v>0</x:v>
      </x:c>
      <x:c r="M211" s="26" t="n">
        <x:v>0</x:v>
      </x:c>
      <x:c r="N211" s="26" t="n">
        <x:f>SUM(K211:M211)</x:f>
        <x:v>60</x:v>
      </x:c>
      <x:c r="O211" s="25" t="str">
        <x:v>2018-08-01_02-279136.pdf</x:v>
      </x:c>
      <x:c r="P211" s="28" t="n">
        <x:v>1</x:v>
      </x:c>
      <x:c r="Q211" s="29" t="str">
        <x:v>Ingen amorteringsrad redovisas på avin.</x:v>
      </x:c>
    </x:row>
    <x:row r="212">
      <x:c r="A212" s="24" t="n">
        <x:v>43344</x:v>
      </x:c>
      <x:c r="B212" s="25" t="str">
        <x:v>Bolån</x:v>
      </x:c>
      <x:c r="C212" s="25" t="str">
        <x:v>Stadshypotek AB</x:v>
      </x:c>
      <x:c r="D212" s="25" t="str">
        <x:v>02-279136</x:v>
      </x:c>
      <x:c r="E212" s="25" t="str">
        <x:v>821823</x:v>
      </x:c>
      <x:c r="F212" s="29" t="str">
        <x:v>HSB Brf Siljan i Stockholm, lgh 178</x:v>
      </x:c>
      <x:c r="G212" s="26" t="n">
        <x:v>35000</x:v>
      </x:c>
      <x:c r="H212" s="27" t="n">
        <x:v>0.020499999999999997</x:v>
      </x:c>
      <x:c r="I212" s="24" t="n">
        <x:v>43313</x:v>
      </x:c>
      <x:c r="J212" s="28" t="n">
        <x:v>30</x:v>
      </x:c>
      <x:c r="K212" s="26" t="n">
        <x:v>60</x:v>
      </x:c>
      <x:c r="L212" s="26" t="n">
        <x:v>0</x:v>
      </x:c>
      <x:c r="M212" s="26" t="n">
        <x:v>0</x:v>
      </x:c>
      <x:c r="N212" s="26" t="n">
        <x:f>SUM(K212:M212)</x:f>
        <x:v>60</x:v>
      </x:c>
      <x:c r="O212" s="25" t="str">
        <x:v>2018-09-01_02-279136.pdf</x:v>
      </x:c>
      <x:c r="P212" s="28" t="n">
        <x:v>1</x:v>
      </x:c>
      <x:c r="Q212" s="29" t="str">
        <x:v>Ingen amorteringsrad redovisas på avin.</x:v>
      </x:c>
    </x:row>
    <x:row r="213">
      <x:c r="A213" s="24" t="n">
        <x:v>43374</x:v>
      </x:c>
      <x:c r="B213" s="25" t="str">
        <x:v>Bolån</x:v>
      </x:c>
      <x:c r="C213" s="25" t="str">
        <x:v>Stadshypotek AB</x:v>
      </x:c>
      <x:c r="D213" s="25" t="str">
        <x:v>02-279136</x:v>
      </x:c>
      <x:c r="E213" s="25" t="str">
        <x:v>821823</x:v>
      </x:c>
      <x:c r="F213" s="29" t="str">
        <x:v>HSB Brf Siljan i Stockholm, lgh 178</x:v>
      </x:c>
      <x:c r="G213" s="26" t="n">
        <x:v>35000</x:v>
      </x:c>
      <x:c r="H213" s="27" t="n">
        <x:v>0.020499999999999997</x:v>
      </x:c>
      <x:c r="I213" s="24" t="n">
        <x:v>43344</x:v>
      </x:c>
      <x:c r="J213" s="28" t="n">
        <x:v>30</x:v>
      </x:c>
      <x:c r="K213" s="26" t="n">
        <x:v>60</x:v>
      </x:c>
      <x:c r="L213" s="26" t="n">
        <x:v>0</x:v>
      </x:c>
      <x:c r="M213" s="26" t="n">
        <x:v>0</x:v>
      </x:c>
      <x:c r="N213" s="26" t="n">
        <x:f>SUM(K213:M213)</x:f>
        <x:v>60</x:v>
      </x:c>
      <x:c r="O213" s="25" t="str">
        <x:v>2018-10-01_02-279136.pdf</x:v>
      </x:c>
      <x:c r="P213" s="28" t="n">
        <x:v>1</x:v>
      </x:c>
      <x:c r="Q213" s="29" t="str">
        <x:v>Ingen amorteringsrad redovisas på avin.</x:v>
      </x:c>
    </x:row>
    <x:row r="214">
      <x:c r="A214" s="24" t="n">
        <x:v>43405</x:v>
      </x:c>
      <x:c r="B214" s="25" t="str">
        <x:v>Bolån</x:v>
      </x:c>
      <x:c r="C214" s="25" t="str">
        <x:v>Stadshypotek AB</x:v>
      </x:c>
      <x:c r="D214" s="25" t="str">
        <x:v>02-279136</x:v>
      </x:c>
      <x:c r="E214" s="25" t="str">
        <x:v>821823</x:v>
      </x:c>
      <x:c r="F214" s="29" t="str">
        <x:v>HSB Brf Siljan i Stockholm, lgh 178</x:v>
      </x:c>
      <x:c r="G214" s="26" t="n">
        <x:v>35000</x:v>
      </x:c>
      <x:c r="H214" s="27" t="n">
        <x:v>0.020499999999999997</x:v>
      </x:c>
      <x:c r="I214" s="24" t="n">
        <x:v>43374</x:v>
      </x:c>
      <x:c r="J214" s="28" t="n">
        <x:v>30</x:v>
      </x:c>
      <x:c r="K214" s="26" t="n">
        <x:v>60</x:v>
      </x:c>
      <x:c r="L214" s="26" t="n">
        <x:v>0</x:v>
      </x:c>
      <x:c r="M214" s="26" t="n">
        <x:v>0</x:v>
      </x:c>
      <x:c r="N214" s="26" t="n">
        <x:f>SUM(K214:M214)</x:f>
        <x:v>60</x:v>
      </x:c>
      <x:c r="O214" s="25" t="str">
        <x:v>2018-11-01_02-279136.pdf</x:v>
      </x:c>
      <x:c r="P214" s="28" t="n">
        <x:v>1</x:v>
      </x:c>
      <x:c r="Q214" s="29" t="str">
        <x:v>Ingen amorteringsrad redovisas på avin.</x:v>
      </x:c>
    </x:row>
    <x:row r="215">
      <x:c r="A215" s="24" t="n">
        <x:v>43435</x:v>
      </x:c>
      <x:c r="B215" s="25" t="str">
        <x:v>Bolån</x:v>
      </x:c>
      <x:c r="C215" s="25" t="str">
        <x:v>Stadshypotek AB</x:v>
      </x:c>
      <x:c r="D215" s="25" t="str">
        <x:v>02-279136</x:v>
      </x:c>
      <x:c r="E215" s="25" t="str">
        <x:v>821823</x:v>
      </x:c>
      <x:c r="F215" s="29" t="str">
        <x:v>HSB Brf Siljan i Stockholm, lgh 178</x:v>
      </x:c>
      <x:c r="G215" s="26" t="n">
        <x:v>35000</x:v>
      </x:c>
      <x:c r="H215" s="27" t="n">
        <x:v>0.020499999999999997</x:v>
      </x:c>
      <x:c r="I215" s="24" t="n">
        <x:v>43405</x:v>
      </x:c>
      <x:c r="J215" s="28" t="n">
        <x:v>30</x:v>
      </x:c>
      <x:c r="K215" s="26" t="n">
        <x:v>60</x:v>
      </x:c>
      <x:c r="L215" s="26" t="n">
        <x:v>0</x:v>
      </x:c>
      <x:c r="M215" s="26" t="n">
        <x:v>0</x:v>
      </x:c>
      <x:c r="N215" s="26" t="n">
        <x:f>SUM(K215:M215)</x:f>
        <x:v>60</x:v>
      </x:c>
      <x:c r="O215" s="25" t="str">
        <x:v>2018-12-01_02-279136.pdf</x:v>
      </x:c>
      <x:c r="P215" s="28" t="n">
        <x:v>1</x:v>
      </x:c>
      <x:c r="Q215" s="29" t="str">
        <x:v>Ingen amorteringsrad redovisas på avin.</x:v>
      </x:c>
    </x:row>
    <x:row r="216">
      <x:c r="A216" s="24" t="n">
        <x:v>43466</x:v>
      </x:c>
      <x:c r="B216" s="25" t="str">
        <x:v>Bolån</x:v>
      </x:c>
      <x:c r="C216" s="25" t="str">
        <x:v>Stadshypotek AB</x:v>
      </x:c>
      <x:c r="D216" s="25" t="str">
        <x:v>02-279136</x:v>
      </x:c>
      <x:c r="E216" s="25" t="str">
        <x:v>821823</x:v>
      </x:c>
      <x:c r="F216" s="29" t="str">
        <x:v>HSB Brf Siljan i Stockholm, lgh 178</x:v>
      </x:c>
      <x:c r="G216" s="26" t="n">
        <x:v>35000</x:v>
      </x:c>
      <x:c r="H216" s="27" t="n">
        <x:v>0.020499999999999997</x:v>
      </x:c>
      <x:c r="I216" s="24" t="n">
        <x:v>43435</x:v>
      </x:c>
      <x:c r="J216" s="28" t="n">
        <x:v>30</x:v>
      </x:c>
      <x:c r="K216" s="26" t="n">
        <x:v>60</x:v>
      </x:c>
      <x:c r="L216" s="26" t="n">
        <x:v>0</x:v>
      </x:c>
      <x:c r="M216" s="26" t="n">
        <x:v>0</x:v>
      </x:c>
      <x:c r="N216" s="26" t="n">
        <x:f>SUM(K216:M216)</x:f>
        <x:v>60</x:v>
      </x:c>
      <x:c r="O216" s="25" t="str">
        <x:v>2019-01-01_02-279136.pdf</x:v>
      </x:c>
      <x:c r="P216" s="28" t="n">
        <x:v>1</x:v>
      </x:c>
      <x:c r="Q216" s="29" t="str">
        <x:v>Ingen amorteringsrad redovisas på avin.</x:v>
      </x:c>
    </x:row>
    <x:row r="217">
      <x:c r="A217" s="24" t="n">
        <x:v>43497</x:v>
      </x:c>
      <x:c r="B217" s="25" t="str">
        <x:v>Bolån</x:v>
      </x:c>
      <x:c r="C217" s="25" t="str">
        <x:v>Stadshypotek AB</x:v>
      </x:c>
      <x:c r="D217" s="25" t="str">
        <x:v>02-279136</x:v>
      </x:c>
      <x:c r="E217" s="25" t="str">
        <x:v>821823</x:v>
      </x:c>
      <x:c r="F217" s="29" t="str">
        <x:v>HSB Brf Siljan i Stockholm, lgh 178</x:v>
      </x:c>
      <x:c r="G217" s="26" t="n">
        <x:v>35000</x:v>
      </x:c>
      <x:c r="H217" s="27" t="n">
        <x:v>0.020499999999999997</x:v>
      </x:c>
      <x:c r="I217" s="24" t="n">
        <x:v>43466</x:v>
      </x:c>
      <x:c r="J217" s="28" t="n">
        <x:v>30</x:v>
      </x:c>
      <x:c r="K217" s="26" t="n">
        <x:v>60</x:v>
      </x:c>
      <x:c r="L217" s="26" t="n">
        <x:v>0</x:v>
      </x:c>
      <x:c r="M217" s="26" t="n">
        <x:v>0</x:v>
      </x:c>
      <x:c r="N217" s="26" t="n">
        <x:f>SUM(K217:M217)</x:f>
        <x:v>60</x:v>
      </x:c>
      <x:c r="O217" s="25" t="str">
        <x:v>2019-02-01_02-279136.pdf</x:v>
      </x:c>
      <x:c r="P217" s="28" t="n">
        <x:v>1</x:v>
      </x:c>
      <x:c r="Q217" s="29" t="str">
        <x:v>Ingen amorteringsrad redovisas på avin.</x:v>
      </x:c>
    </x:row>
    <x:row r="218">
      <x:c r="A218" s="24" t="n">
        <x:v>43525</x:v>
      </x:c>
      <x:c r="B218" s="25" t="str">
        <x:v>Bolån</x:v>
      </x:c>
      <x:c r="C218" s="25" t="str">
        <x:v>Stadshypotek AB</x:v>
      </x:c>
      <x:c r="D218" s="25" t="str">
        <x:v>02-279136</x:v>
      </x:c>
      <x:c r="E218" s="25" t="str">
        <x:v>821823</x:v>
      </x:c>
      <x:c r="F218" s="29" t="str">
        <x:v>HSB Brf Siljan i Stockholm, lgh 178</x:v>
      </x:c>
      <x:c r="G218" s="26" t="n">
        <x:v>35000</x:v>
      </x:c>
      <x:c r="H218" s="27" t="n">
        <x:v>0.020499999999999997</x:v>
      </x:c>
      <x:c r="I218" s="24" t="n">
        <x:v>43497</x:v>
      </x:c>
      <x:c r="J218" s="28" t="n">
        <x:v>30</x:v>
      </x:c>
      <x:c r="K218" s="26" t="n">
        <x:v>60</x:v>
      </x:c>
      <x:c r="L218" s="26" t="n">
        <x:v>0</x:v>
      </x:c>
      <x:c r="M218" s="26" t="n">
        <x:v>0</x:v>
      </x:c>
      <x:c r="N218" s="26" t="n">
        <x:f>SUM(K218:M218)</x:f>
        <x:v>60</x:v>
      </x:c>
      <x:c r="O218" s="25" t="str">
        <x:v>2019-03-01_02-279136.pdf</x:v>
      </x:c>
      <x:c r="P218" s="28" t="n">
        <x:v>1</x:v>
      </x:c>
      <x:c r="Q218" s="29" t="str">
        <x:v>Ingen amorteringsrad redovisas på avin.</x:v>
      </x:c>
    </x:row>
    <x:row r="219">
      <x:c r="A219" s="24" t="n">
        <x:v>43556</x:v>
      </x:c>
      <x:c r="B219" s="25" t="str">
        <x:v>Bolån</x:v>
      </x:c>
      <x:c r="C219" s="25" t="str">
        <x:v>Stadshypotek AB</x:v>
      </x:c>
      <x:c r="D219" s="25" t="str">
        <x:v>02-279136</x:v>
      </x:c>
      <x:c r="E219" s="25" t="str">
        <x:v>821823</x:v>
      </x:c>
      <x:c r="F219" s="29" t="str">
        <x:v>HSB Brf Siljan i Stockholm, lgh 178</x:v>
      </x:c>
      <x:c r="G219" s="26" t="n">
        <x:v>35000</x:v>
      </x:c>
      <x:c r="H219" s="27" t="n">
        <x:v>0.0225</x:v>
      </x:c>
      <x:c r="I219" s="24" t="n">
        <x:v>43525</x:v>
      </x:c>
      <x:c r="J219" s="28" t="n">
        <x:v>30</x:v>
      </x:c>
      <x:c r="K219" s="26" t="n">
        <x:v>66</x:v>
      </x:c>
      <x:c r="L219" s="26" t="n">
        <x:v>0</x:v>
      </x:c>
      <x:c r="M219" s="26" t="n">
        <x:v>0</x:v>
      </x:c>
      <x:c r="N219" s="26" t="n">
        <x:f>SUM(K219:M219)</x:f>
        <x:v>66</x:v>
      </x:c>
      <x:c r="O219" s="25" t="str">
        <x:v>2019-04-01_02-279136.pdf</x:v>
      </x:c>
      <x:c r="P219" s="28" t="n">
        <x:v>1</x:v>
      </x:c>
      <x:c r="Q219" s="29" t="str">
        <x:v>Ingen amorteringsrad redovisas på avin.</x:v>
      </x:c>
    </x:row>
    <x:row r="220">
      <x:c r="A220" s="24" t="n">
        <x:v>43586</x:v>
      </x:c>
      <x:c r="B220" s="25" t="str">
        <x:v>Bolån</x:v>
      </x:c>
      <x:c r="C220" s="25" t="str">
        <x:v>Stadshypotek AB</x:v>
      </x:c>
      <x:c r="D220" s="25" t="str">
        <x:v>02-279136</x:v>
      </x:c>
      <x:c r="E220" s="25" t="str">
        <x:v>821823</x:v>
      </x:c>
      <x:c r="F220" s="29" t="str">
        <x:v>HSB Brf Siljan i Stockholm, lgh 178</x:v>
      </x:c>
      <x:c r="G220" s="26" t="n">
        <x:v>35000</x:v>
      </x:c>
      <x:c r="H220" s="27" t="n">
        <x:v>0.0225</x:v>
      </x:c>
      <x:c r="I220" s="24" t="n">
        <x:v>43556</x:v>
      </x:c>
      <x:c r="J220" s="28" t="n">
        <x:v>30</x:v>
      </x:c>
      <x:c r="K220" s="26" t="n">
        <x:v>66</x:v>
      </x:c>
      <x:c r="L220" s="26" t="n">
        <x:v>0</x:v>
      </x:c>
      <x:c r="M220" s="26" t="n">
        <x:v>0</x:v>
      </x:c>
      <x:c r="N220" s="26" t="n">
        <x:f>SUM(K220:M220)</x:f>
        <x:v>66</x:v>
      </x:c>
      <x:c r="O220" s="25" t="str">
        <x:v>2019-05-01_02-279136.pdf</x:v>
      </x:c>
      <x:c r="P220" s="28" t="n">
        <x:v>1</x:v>
      </x:c>
      <x:c r="Q220" s="29" t="str">
        <x:v>Ingen amorteringsrad redovisas på avin.</x:v>
      </x:c>
    </x:row>
    <x:row r="221">
      <x:c r="A221" s="24" t="n">
        <x:v>43617</x:v>
      </x:c>
      <x:c r="B221" s="25" t="str">
        <x:v>Bolån</x:v>
      </x:c>
      <x:c r="C221" s="25" t="str">
        <x:v>Stadshypotek AB</x:v>
      </x:c>
      <x:c r="D221" s="25" t="str">
        <x:v>02-279136</x:v>
      </x:c>
      <x:c r="E221" s="25" t="str">
        <x:v>821823</x:v>
      </x:c>
      <x:c r="F221" s="29" t="str">
        <x:v>HSB Brf Siljan i Stockholm, lgh 178</x:v>
      </x:c>
      <x:c r="G221" s="26" t="n">
        <x:v>35000</x:v>
      </x:c>
      <x:c r="H221" s="27" t="n">
        <x:v>0.0225</x:v>
      </x:c>
      <x:c r="I221" s="24" t="n">
        <x:v>43586</x:v>
      </x:c>
      <x:c r="J221" s="28" t="n">
        <x:v>30</x:v>
      </x:c>
      <x:c r="K221" s="26" t="n">
        <x:v>66</x:v>
      </x:c>
      <x:c r="L221" s="26" t="n">
        <x:v>0</x:v>
      </x:c>
      <x:c r="M221" s="26" t="n">
        <x:v>0</x:v>
      </x:c>
      <x:c r="N221" s="26" t="n">
        <x:f>SUM(K221:M221)</x:f>
        <x:v>66</x:v>
      </x:c>
      <x:c r="O221" s="25" t="str">
        <x:v>2019-06-01_02-279136.pdf</x:v>
      </x:c>
      <x:c r="P221" s="28" t="n">
        <x:v>1</x:v>
      </x:c>
      <x:c r="Q221" s="29" t="str">
        <x:v>Ingen amorteringsrad redovisas på avin.</x:v>
      </x:c>
    </x:row>
    <x:row r="222">
      <x:c r="A222" s="24" t="n">
        <x:v>43647</x:v>
      </x:c>
      <x:c r="B222" s="25" t="str">
        <x:v>Bolån</x:v>
      </x:c>
      <x:c r="C222" s="25" t="str">
        <x:v>Stadshypotek AB</x:v>
      </x:c>
      <x:c r="D222" s="25" t="str">
        <x:v>02-279136</x:v>
      </x:c>
      <x:c r="E222" s="25" t="str">
        <x:v>821823</x:v>
      </x:c>
      <x:c r="F222" s="29" t="str">
        <x:v>HSB Brf Siljan i Stockholm, lgh 178</x:v>
      </x:c>
      <x:c r="G222" s="26" t="n">
        <x:v>35000</x:v>
      </x:c>
      <x:c r="H222" s="27" t="n">
        <x:v>0.0225</x:v>
      </x:c>
      <x:c r="I222" s="24" t="n">
        <x:v>43617</x:v>
      </x:c>
      <x:c r="J222" s="28" t="n">
        <x:v>30</x:v>
      </x:c>
      <x:c r="K222" s="26" t="n">
        <x:v>66</x:v>
      </x:c>
      <x:c r="L222" s="26" t="n">
        <x:v>0</x:v>
      </x:c>
      <x:c r="M222" s="26" t="n">
        <x:v>0</x:v>
      </x:c>
      <x:c r="N222" s="26" t="n">
        <x:f>SUM(K222:M222)</x:f>
        <x:v>66</x:v>
      </x:c>
      <x:c r="O222" s="25" t="str">
        <x:v>2019-07-01_02-279136.pdf</x:v>
      </x:c>
      <x:c r="P222" s="28" t="n">
        <x:v>1</x:v>
      </x:c>
      <x:c r="Q222" s="29" t="str">
        <x:v>Ingen amorteringsrad redovisas på avin.</x:v>
      </x:c>
    </x:row>
    <x:row r="223">
      <x:c r="A223" s="24" t="n">
        <x:v>43678</x:v>
      </x:c>
      <x:c r="B223" s="25" t="str">
        <x:v>Bolån</x:v>
      </x:c>
      <x:c r="C223" s="25" t="str">
        <x:v>Stadshypotek AB</x:v>
      </x:c>
      <x:c r="D223" s="25" t="str">
        <x:v>02-279136</x:v>
      </x:c>
      <x:c r="E223" s="25" t="str">
        <x:v>821823</x:v>
      </x:c>
      <x:c r="F223" s="29" t="str">
        <x:v>HSB Brf Siljan i Stockholm, lgh 178</x:v>
      </x:c>
      <x:c r="G223" s="26" t="n">
        <x:v>35000</x:v>
      </x:c>
      <x:c r="H223" s="27" t="n">
        <x:v>0.0225</x:v>
      </x:c>
      <x:c r="I223" s="24" t="n">
        <x:v>43647</x:v>
      </x:c>
      <x:c r="J223" s="28" t="n">
        <x:v>30</x:v>
      </x:c>
      <x:c r="K223" s="26" t="n">
        <x:v>66</x:v>
      </x:c>
      <x:c r="L223" s="26" t="n">
        <x:v>0</x:v>
      </x:c>
      <x:c r="M223" s="26" t="n">
        <x:v>0</x:v>
      </x:c>
      <x:c r="N223" s="26" t="n">
        <x:f>SUM(K223:M223)</x:f>
        <x:v>66</x:v>
      </x:c>
      <x:c r="O223" s="25" t="str">
        <x:v>2019-08-01_02-279136.pdf</x:v>
      </x:c>
      <x:c r="P223" s="28" t="n">
        <x:v>1</x:v>
      </x:c>
      <x:c r="Q223" s="29" t="str">
        <x:v>Ingen amorteringsrad redovisas på avin.</x:v>
      </x:c>
    </x:row>
    <x:row r="224">
      <x:c r="A224" s="24" t="n">
        <x:v>43709</x:v>
      </x:c>
      <x:c r="B224" s="25" t="str">
        <x:v>Bolån</x:v>
      </x:c>
      <x:c r="C224" s="25" t="str">
        <x:v>Stadshypotek AB</x:v>
      </x:c>
      <x:c r="D224" s="25" t="str">
        <x:v>02-279136</x:v>
      </x:c>
      <x:c r="E224" s="25" t="str">
        <x:v>821823</x:v>
      </x:c>
      <x:c r="F224" s="29" t="str">
        <x:v>HSB Brf Siljan i Stockholm, lgh 178</x:v>
      </x:c>
      <x:c r="G224" s="26" t="n">
        <x:v>35000</x:v>
      </x:c>
      <x:c r="H224" s="27" t="n">
        <x:v>0.0225</x:v>
      </x:c>
      <x:c r="I224" s="24" t="n">
        <x:v>43678</x:v>
      </x:c>
      <x:c r="J224" s="28" t="n">
        <x:v>30</x:v>
      </x:c>
      <x:c r="K224" s="26" t="n">
        <x:v>66</x:v>
      </x:c>
      <x:c r="L224" s="26" t="n">
        <x:v>0</x:v>
      </x:c>
      <x:c r="M224" s="26" t="n">
        <x:v>0</x:v>
      </x:c>
      <x:c r="N224" s="26" t="n">
        <x:f>SUM(K224:M224)</x:f>
        <x:v>66</x:v>
      </x:c>
      <x:c r="O224" s="25" t="str">
        <x:v>2019-09-01_02-279136.pdf</x:v>
      </x:c>
      <x:c r="P224" s="28" t="n">
        <x:v>1</x:v>
      </x:c>
      <x:c r="Q224" s="29" t="str">
        <x:v>Ingen amorteringsrad redovisas på avin.</x:v>
      </x:c>
    </x:row>
    <x:row r="225">
      <x:c r="A225" s="24" t="n">
        <x:v>43739</x:v>
      </x:c>
      <x:c r="B225" s="25" t="str">
        <x:v>Bolån</x:v>
      </x:c>
      <x:c r="C225" s="25" t="str">
        <x:v>Stadshypotek AB</x:v>
      </x:c>
      <x:c r="D225" s="25" t="str">
        <x:v>02-279136</x:v>
      </x:c>
      <x:c r="E225" s="25" t="str">
        <x:v>821823</x:v>
      </x:c>
      <x:c r="F225" s="29" t="str">
        <x:v>HSB Brf Siljan i Stockholm, lgh 178</x:v>
      </x:c>
      <x:c r="G225" s="26" t="n">
        <x:v>35000</x:v>
      </x:c>
      <x:c r="H225" s="27" t="n">
        <x:v>0.0225</x:v>
      </x:c>
      <x:c r="I225" s="24" t="n">
        <x:v>43709</x:v>
      </x:c>
      <x:c r="J225" s="28" t="n">
        <x:v>30</x:v>
      </x:c>
      <x:c r="K225" s="26" t="n">
        <x:v>66</x:v>
      </x:c>
      <x:c r="L225" s="26" t="n">
        <x:v>0</x:v>
      </x:c>
      <x:c r="M225" s="26" t="n">
        <x:v>0</x:v>
      </x:c>
      <x:c r="N225" s="26" t="n">
        <x:f>SUM(K225:M225)</x:f>
        <x:v>66</x:v>
      </x:c>
      <x:c r="O225" s="25" t="str">
        <x:v>2019-10-01_02-279136.pdf</x:v>
      </x:c>
      <x:c r="P225" s="28" t="n">
        <x:v>1</x:v>
      </x:c>
      <x:c r="Q225" s="29" t="str">
        <x:v>Ingen amorteringsrad redovisas på avin.</x:v>
      </x:c>
    </x:row>
    <x:row r="226">
      <x:c r="A226" s="24" t="n">
        <x:v>43770</x:v>
      </x:c>
      <x:c r="B226" s="25" t="str">
        <x:v>Bolån</x:v>
      </x:c>
      <x:c r="C226" s="25" t="str">
        <x:v>Stadshypotek AB</x:v>
      </x:c>
      <x:c r="D226" s="25" t="str">
        <x:v>02-279136</x:v>
      </x:c>
      <x:c r="E226" s="25" t="str">
        <x:v>821823</x:v>
      </x:c>
      <x:c r="F226" s="29" t="str">
        <x:v>HSB Brf Siljan i Stockholm, lgh 178</x:v>
      </x:c>
      <x:c r="G226" s="26" t="n">
        <x:v>35000</x:v>
      </x:c>
      <x:c r="H226" s="27" t="n">
        <x:v>0.0225</x:v>
      </x:c>
      <x:c r="I226" s="24" t="n">
        <x:v>43739</x:v>
      </x:c>
      <x:c r="J226" s="28" t="n">
        <x:v>30</x:v>
      </x:c>
      <x:c r="K226" s="26" t="n">
        <x:v>66</x:v>
      </x:c>
      <x:c r="L226" s="26" t="n">
        <x:v>0</x:v>
      </x:c>
      <x:c r="M226" s="26" t="n">
        <x:v>0</x:v>
      </x:c>
      <x:c r="N226" s="26" t="n">
        <x:f>SUM(K226:M226)</x:f>
        <x:v>66</x:v>
      </x:c>
      <x:c r="O226" s="25" t="str">
        <x:v>2019-11-01_02-279136.pdf</x:v>
      </x:c>
      <x:c r="P226" s="28" t="n">
        <x:v>1</x:v>
      </x:c>
      <x:c r="Q226" s="29" t="str">
        <x:v>Ingen amorteringsrad redovisas på avin.</x:v>
      </x:c>
    </x:row>
    <x:row r="227">
      <x:c r="A227" s="24" t="n">
        <x:v>43800</x:v>
      </x:c>
      <x:c r="B227" s="25" t="str">
        <x:v>Bolån</x:v>
      </x:c>
      <x:c r="C227" s="25" t="str">
        <x:v>Stadshypotek AB</x:v>
      </x:c>
      <x:c r="D227" s="25" t="str">
        <x:v>02-279136</x:v>
      </x:c>
      <x:c r="E227" s="25" t="str">
        <x:v>821823</x:v>
      </x:c>
      <x:c r="F227" s="29" t="str">
        <x:v>HSB Brf Siljan i Stockholm, lgh 178</x:v>
      </x:c>
      <x:c r="G227" s="26" t="n">
        <x:v>35000</x:v>
      </x:c>
      <x:c r="H227" s="27" t="n">
        <x:v>0.0225</x:v>
      </x:c>
      <x:c r="I227" s="24" t="n">
        <x:v>43770</x:v>
      </x:c>
      <x:c r="J227" s="28" t="n">
        <x:v>30</x:v>
      </x:c>
      <x:c r="K227" s="26" t="n">
        <x:v>66</x:v>
      </x:c>
      <x:c r="L227" s="26" t="n">
        <x:v>0</x:v>
      </x:c>
      <x:c r="M227" s="26" t="n">
        <x:v>0</x:v>
      </x:c>
      <x:c r="N227" s="26" t="n">
        <x:f>SUM(K227:M227)</x:f>
        <x:v>66</x:v>
      </x:c>
      <x:c r="O227" s="25" t="str">
        <x:v>2019-12-01_02-279136.pdf</x:v>
      </x:c>
      <x:c r="P227" s="28" t="n">
        <x:v>1</x:v>
      </x:c>
      <x:c r="Q227" s="29" t="str">
        <x:v>Ingen amorteringsrad redovisas på avin.</x:v>
      </x:c>
    </x:row>
    <x:row r="228">
      <x:c r="A228" s="24" t="n">
        <x:v>43831</x:v>
      </x:c>
      <x:c r="B228" s="25" t="str">
        <x:v>Bolån</x:v>
      </x:c>
      <x:c r="C228" s="25" t="str">
        <x:v>Stadshypotek AB</x:v>
      </x:c>
      <x:c r="D228" s="25" t="str">
        <x:v>02-279136</x:v>
      </x:c>
      <x:c r="E228" s="25" t="str">
        <x:v>821823</x:v>
      </x:c>
      <x:c r="F228" s="29" t="str">
        <x:v>HSB Brf Siljan i Stockholm, lgh 178</x:v>
      </x:c>
      <x:c r="G228" s="26" t="n">
        <x:v>35000</x:v>
      </x:c>
      <x:c r="H228" s="27" t="n">
        <x:v>0.0225</x:v>
      </x:c>
      <x:c r="I228" s="24" t="n">
        <x:v>43800</x:v>
      </x:c>
      <x:c r="J228" s="28" t="n">
        <x:v>30</x:v>
      </x:c>
      <x:c r="K228" s="26" t="n">
        <x:v>66</x:v>
      </x:c>
      <x:c r="L228" s="26" t="n">
        <x:v>0</x:v>
      </x:c>
      <x:c r="M228" s="26" t="n">
        <x:v>0</x:v>
      </x:c>
      <x:c r="N228" s="26" t="n">
        <x:f>SUM(K228:M228)</x:f>
        <x:v>66</x:v>
      </x:c>
      <x:c r="O228" s="25" t="str">
        <x:v>2020-01-01_02-279136.pdf</x:v>
      </x:c>
      <x:c r="P228" s="28" t="n">
        <x:v>1</x:v>
      </x:c>
      <x:c r="Q228" s="29" t="str">
        <x:v>Ingen amorteringsrad redovisas på avin.</x:v>
      </x:c>
    </x:row>
    <x:row r="229">
      <x:c r="A229" s="24" t="n">
        <x:v>43862</x:v>
      </x:c>
      <x:c r="B229" s="25" t="str">
        <x:v>Bolån</x:v>
      </x:c>
      <x:c r="C229" s="25" t="str">
        <x:v>Stadshypotek AB</x:v>
      </x:c>
      <x:c r="D229" s="25" t="str">
        <x:v>02-279136</x:v>
      </x:c>
      <x:c r="E229" s="25" t="str">
        <x:v>821823</x:v>
      </x:c>
      <x:c r="F229" s="29" t="str">
        <x:v>HSB Brf Siljan i Stockholm, lgh 178</x:v>
      </x:c>
      <x:c r="G229" s="26" t="n">
        <x:v>35000</x:v>
      </x:c>
      <x:c r="H229" s="27" t="n">
        <x:v>0.0225</x:v>
      </x:c>
      <x:c r="I229" s="24" t="n">
        <x:v>43831</x:v>
      </x:c>
      <x:c r="J229" s="28" t="n">
        <x:v>30</x:v>
      </x:c>
      <x:c r="K229" s="26" t="n">
        <x:v>66</x:v>
      </x:c>
      <x:c r="L229" s="26" t="n">
        <x:v>0</x:v>
      </x:c>
      <x:c r="M229" s="26" t="n">
        <x:v>0</x:v>
      </x:c>
      <x:c r="N229" s="26" t="n">
        <x:f>SUM(K229:M229)</x:f>
        <x:v>66</x:v>
      </x:c>
      <x:c r="O229" s="25" t="str">
        <x:v>2020-02-01_02-279136.pdf</x:v>
      </x:c>
      <x:c r="P229" s="28" t="n">
        <x:v>1</x:v>
      </x:c>
      <x:c r="Q229" s="29" t="str">
        <x:v>Ingen amorteringsrad redovisas på avin.</x:v>
      </x:c>
    </x:row>
    <x:row r="230">
      <x:c r="A230" s="24" t="n">
        <x:v>43891</x:v>
      </x:c>
      <x:c r="B230" s="25" t="str">
        <x:v>Bolån</x:v>
      </x:c>
      <x:c r="C230" s="25" t="str">
        <x:v>Stadshypotek AB</x:v>
      </x:c>
      <x:c r="D230" s="25" t="str">
        <x:v>02-279136</x:v>
      </x:c>
      <x:c r="E230" s="25" t="str">
        <x:v>821823</x:v>
      </x:c>
      <x:c r="F230" s="29" t="str">
        <x:v>HSB Brf Siljan i Stockholm, lgh 178</x:v>
      </x:c>
      <x:c r="G230" s="26" t="n">
        <x:v>35000</x:v>
      </x:c>
      <x:c r="H230" s="27" t="n">
        <x:v>0.0225</x:v>
      </x:c>
      <x:c r="I230" s="24" t="n">
        <x:v>43862</x:v>
      </x:c>
      <x:c r="J230" s="28" t="n">
        <x:v>30</x:v>
      </x:c>
      <x:c r="K230" s="26" t="n">
        <x:v>66</x:v>
      </x:c>
      <x:c r="L230" s="26" t="n">
        <x:v>0</x:v>
      </x:c>
      <x:c r="M230" s="26" t="n">
        <x:v>0</x:v>
      </x:c>
      <x:c r="N230" s="26" t="n">
        <x:f>SUM(K230:M230)</x:f>
        <x:v>66</x:v>
      </x:c>
      <x:c r="O230" s="25" t="str">
        <x:v>2020-03-01_02-279136.pdf</x:v>
      </x:c>
      <x:c r="P230" s="28" t="n">
        <x:v>1</x:v>
      </x:c>
      <x:c r="Q230" s="29" t="str">
        <x:v>Ingen amorteringsrad redovisas på avin.</x:v>
      </x:c>
    </x:row>
    <x:row r="231">
      <x:c r="A231" s="24" t="n">
        <x:v>43922</x:v>
      </x:c>
      <x:c r="B231" s="25" t="str">
        <x:v>Bolån</x:v>
      </x:c>
      <x:c r="C231" s="25" t="str">
        <x:v>Stadshypotek AB</x:v>
      </x:c>
      <x:c r="D231" s="25" t="str">
        <x:v>02-279136</x:v>
      </x:c>
      <x:c r="E231" s="25" t="str">
        <x:v>821823</x:v>
      </x:c>
      <x:c r="F231" s="29" t="str">
        <x:v>HSB Brf Siljan i Stockholm, lgh 178</x:v>
      </x:c>
      <x:c r="G231" s="26" t="n">
        <x:v>35000</x:v>
      </x:c>
      <x:c r="H231" s="27" t="n">
        <x:v>0.025</x:v>
      </x:c>
      <x:c r="I231" s="24" t="n">
        <x:v>43891</x:v>
      </x:c>
      <x:c r="J231" s="28" t="n">
        <x:v>30</x:v>
      </x:c>
      <x:c r="K231" s="26" t="n">
        <x:v>73</x:v>
      </x:c>
      <x:c r="L231" s="26" t="n">
        <x:v>0</x:v>
      </x:c>
      <x:c r="M231" s="26" t="n">
        <x:v>0</x:v>
      </x:c>
      <x:c r="N231" s="26" t="n">
        <x:f>SUM(K231:M231)</x:f>
        <x:v>73</x:v>
      </x:c>
      <x:c r="O231" s="25" t="str">
        <x:v>2020-04-01_02-279136.pdf</x:v>
      </x:c>
      <x:c r="P231" s="28" t="n">
        <x:v>1</x:v>
      </x:c>
      <x:c r="Q231" s="29" t="str">
        <x:v>Ingen amorteringsrad redovisas på avin.</x:v>
      </x:c>
    </x:row>
    <x:row r="232">
      <x:c r="A232" s="24" t="n">
        <x:v>43952</x:v>
      </x:c>
      <x:c r="B232" s="25" t="str">
        <x:v>Bolån</x:v>
      </x:c>
      <x:c r="C232" s="25" t="str">
        <x:v>Stadshypotek AB</x:v>
      </x:c>
      <x:c r="D232" s="25" t="str">
        <x:v>02-279136</x:v>
      </x:c>
      <x:c r="E232" s="25" t="str">
        <x:v>821823</x:v>
      </x:c>
      <x:c r="F232" s="29" t="str">
        <x:v>HSB Brf Siljan i Stockholm, lgh 178</x:v>
      </x:c>
      <x:c r="G232" s="26" t="n">
        <x:v>35000</x:v>
      </x:c>
      <x:c r="H232" s="27" t="n">
        <x:v>0.025</x:v>
      </x:c>
      <x:c r="I232" s="24" t="n">
        <x:v>43922</x:v>
      </x:c>
      <x:c r="J232" s="28" t="n">
        <x:v>30</x:v>
      </x:c>
      <x:c r="K232" s="26" t="n">
        <x:v>73</x:v>
      </x:c>
      <x:c r="L232" s="26" t="n">
        <x:v>0</x:v>
      </x:c>
      <x:c r="M232" s="26" t="n">
        <x:v>0</x:v>
      </x:c>
      <x:c r="N232" s="26" t="n">
        <x:f>SUM(K232:M232)</x:f>
        <x:v>73</x:v>
      </x:c>
      <x:c r="O232" s="25" t="str">
        <x:v>2020-05-01_02-279136.pdf</x:v>
      </x:c>
      <x:c r="P232" s="28" t="n">
        <x:v>1</x:v>
      </x:c>
      <x:c r="Q232" s="29" t="str">
        <x:v>Ingen amorteringsrad redovisas på avin.</x:v>
      </x:c>
    </x:row>
    <x:row r="233">
      <x:c r="A233" s="24" t="n">
        <x:v>43983</x:v>
      </x:c>
      <x:c r="B233" s="25" t="str">
        <x:v>Bolån</x:v>
      </x:c>
      <x:c r="C233" s="25" t="str">
        <x:v>Stadshypotek AB</x:v>
      </x:c>
      <x:c r="D233" s="25" t="str">
        <x:v>02-279136</x:v>
      </x:c>
      <x:c r="E233" s="25" t="str">
        <x:v>821823</x:v>
      </x:c>
      <x:c r="F233" s="29" t="str">
        <x:v>HSB Brf Siljan i Stockholm, lgh 178</x:v>
      </x:c>
      <x:c r="G233" s="26" t="n">
        <x:v>35000</x:v>
      </x:c>
      <x:c r="H233" s="27" t="n">
        <x:v>0.025</x:v>
      </x:c>
      <x:c r="I233" s="24" t="n">
        <x:v>43952</x:v>
      </x:c>
      <x:c r="J233" s="28" t="n">
        <x:v>30</x:v>
      </x:c>
      <x:c r="K233" s="26" t="n">
        <x:v>73</x:v>
      </x:c>
      <x:c r="L233" s="26" t="n">
        <x:v>0</x:v>
      </x:c>
      <x:c r="M233" s="26" t="n">
        <x:v>0</x:v>
      </x:c>
      <x:c r="N233" s="26" t="n">
        <x:f>SUM(K233:M233)</x:f>
        <x:v>73</x:v>
      </x:c>
      <x:c r="O233" s="25" t="str">
        <x:v>2020-06-01_02-279136.pdf</x:v>
      </x:c>
      <x:c r="P233" s="28" t="n">
        <x:v>1</x:v>
      </x:c>
      <x:c r="Q233" s="29" t="str">
        <x:v>Ingen amorteringsrad redovisas på avin.</x:v>
      </x:c>
    </x:row>
    <x:row r="234">
      <x:c r="A234" s="24" t="n">
        <x:v>44013</x:v>
      </x:c>
      <x:c r="B234" s="25" t="str">
        <x:v>Bolån</x:v>
      </x:c>
      <x:c r="C234" s="25" t="str">
        <x:v>Stadshypotek AB</x:v>
      </x:c>
      <x:c r="D234" s="25" t="str">
        <x:v>02-279136</x:v>
      </x:c>
      <x:c r="E234" s="25" t="str">
        <x:v>821823</x:v>
      </x:c>
      <x:c r="F234" s="29" t="str">
        <x:v>HSB Brf Siljan i Stockholm, lgh 178</x:v>
      </x:c>
      <x:c r="G234" s="26" t="n">
        <x:v>35000</x:v>
      </x:c>
      <x:c r="H234" s="27" t="n">
        <x:v>0.025</x:v>
      </x:c>
      <x:c r="I234" s="24" t="n">
        <x:v>43983</x:v>
      </x:c>
      <x:c r="J234" s="28" t="n">
        <x:v>30</x:v>
      </x:c>
      <x:c r="K234" s="26" t="n">
        <x:v>73</x:v>
      </x:c>
      <x:c r="L234" s="26" t="n">
        <x:v>0</x:v>
      </x:c>
      <x:c r="M234" s="26" t="n">
        <x:v>0</x:v>
      </x:c>
      <x:c r="N234" s="26" t="n">
        <x:f>SUM(K234:M234)</x:f>
        <x:v>73</x:v>
      </x:c>
      <x:c r="O234" s="25" t="str">
        <x:v>2020-07-01_02-279136.pdf</x:v>
      </x:c>
      <x:c r="P234" s="28" t="n">
        <x:v>1</x:v>
      </x:c>
      <x:c r="Q234" s="29" t="str">
        <x:v>Ingen amorteringsrad redovisas på avin.</x:v>
      </x:c>
    </x:row>
    <x:row r="235">
      <x:c r="A235" s="24" t="n">
        <x:v>44044</x:v>
      </x:c>
      <x:c r="B235" s="25" t="str">
        <x:v>Bolån</x:v>
      </x:c>
      <x:c r="C235" s="25" t="str">
        <x:v>Stadshypotek AB</x:v>
      </x:c>
      <x:c r="D235" s="25" t="str">
        <x:v>02-279136</x:v>
      </x:c>
      <x:c r="E235" s="25" t="str">
        <x:v>821823</x:v>
      </x:c>
      <x:c r="F235" s="29" t="str">
        <x:v>HSB Brf Siljan i Stockholm, lgh 178</x:v>
      </x:c>
      <x:c r="G235" s="26" t="n">
        <x:v>35000</x:v>
      </x:c>
      <x:c r="H235" s="27" t="n">
        <x:v>0.025</x:v>
      </x:c>
      <x:c r="I235" s="24" t="n">
        <x:v>44013</x:v>
      </x:c>
      <x:c r="J235" s="28" t="n">
        <x:v>30</x:v>
      </x:c>
      <x:c r="K235" s="26" t="n">
        <x:v>73</x:v>
      </x:c>
      <x:c r="L235" s="26" t="n">
        <x:v>0</x:v>
      </x:c>
      <x:c r="M235" s="26" t="n">
        <x:v>0</x:v>
      </x:c>
      <x:c r="N235" s="26" t="n">
        <x:f>SUM(K235:M235)</x:f>
        <x:v>73</x:v>
      </x:c>
      <x:c r="O235" s="25" t="str">
        <x:v>2020-08-01_02-279136.pdf</x:v>
      </x:c>
      <x:c r="P235" s="28" t="n">
        <x:v>1</x:v>
      </x:c>
      <x:c r="Q235" s="29" t="str">
        <x:v>Ingen amorteringsrad redovisas på avin.</x:v>
      </x:c>
    </x:row>
    <x:row r="236">
      <x:c r="A236" s="24" t="n">
        <x:v>44075</x:v>
      </x:c>
      <x:c r="B236" s="25" t="str">
        <x:v>Bolån</x:v>
      </x:c>
      <x:c r="C236" s="25" t="str">
        <x:v>Stadshypotek AB</x:v>
      </x:c>
      <x:c r="D236" s="25" t="str">
        <x:v>02-279136</x:v>
      </x:c>
      <x:c r="E236" s="25" t="str">
        <x:v>821823</x:v>
      </x:c>
      <x:c r="F236" s="29" t="str">
        <x:v>HSB Brf Siljan i Stockholm, lgh 178</x:v>
      </x:c>
      <x:c r="G236" s="26" t="n">
        <x:v>35000</x:v>
      </x:c>
      <x:c r="H236" s="27" t="n">
        <x:v>0.025</x:v>
      </x:c>
      <x:c r="I236" s="24" t="n">
        <x:v>44044</x:v>
      </x:c>
      <x:c r="J236" s="28" t="n">
        <x:v>30</x:v>
      </x:c>
      <x:c r="K236" s="26" t="n">
        <x:v>73</x:v>
      </x:c>
      <x:c r="L236" s="26" t="n">
        <x:v>0</x:v>
      </x:c>
      <x:c r="M236" s="26" t="n">
        <x:v>0</x:v>
      </x:c>
      <x:c r="N236" s="26" t="n">
        <x:f>SUM(K236:M236)</x:f>
        <x:v>73</x:v>
      </x:c>
      <x:c r="O236" s="25" t="str">
        <x:v>2020-09-01_02-279136.pdf</x:v>
      </x:c>
      <x:c r="P236" s="28" t="n">
        <x:v>1</x:v>
      </x:c>
      <x:c r="Q236" s="29" t="str">
        <x:v>Ingen amorteringsrad redovisas på avin.</x:v>
      </x:c>
    </x:row>
    <x:row r="237">
      <x:c r="A237" s="24" t="n">
        <x:v>44105</x:v>
      </x:c>
      <x:c r="B237" s="25" t="str">
        <x:v>Bolån</x:v>
      </x:c>
      <x:c r="C237" s="25" t="str">
        <x:v>Stadshypotek AB</x:v>
      </x:c>
      <x:c r="D237" s="25" t="str">
        <x:v>02-279136</x:v>
      </x:c>
      <x:c r="E237" s="25" t="str">
        <x:v>821823</x:v>
      </x:c>
      <x:c r="F237" s="29" t="str">
        <x:v>HSB Brf Siljan i Stockholm, lgh 178</x:v>
      </x:c>
      <x:c r="G237" s="26" t="n">
        <x:v>35000</x:v>
      </x:c>
      <x:c r="H237" s="27" t="n">
        <x:v>0.024300000000000002</x:v>
      </x:c>
      <x:c r="I237" s="24" t="n">
        <x:v>44075</x:v>
      </x:c>
      <x:c r="J237" s="28" t="n">
        <x:v>30</x:v>
      </x:c>
      <x:c r="K237" s="26" t="n">
        <x:v>71</x:v>
      </x:c>
      <x:c r="L237" s="26" t="n">
        <x:v>0</x:v>
      </x:c>
      <x:c r="M237" s="26" t="n">
        <x:v>0</x:v>
      </x:c>
      <x:c r="N237" s="26" t="n">
        <x:f>SUM(K237:M237)</x:f>
        <x:v>71</x:v>
      </x:c>
      <x:c r="O237" s="25" t="str">
        <x:v>2020-10-01_02-279136.pdf</x:v>
      </x:c>
      <x:c r="P237" s="28" t="n">
        <x:v>1</x:v>
      </x:c>
      <x:c r="Q237" s="29" t="str">
        <x:v>Ingen amorteringsrad redovisas på avin.</x:v>
      </x:c>
    </x:row>
    <x:row r="238">
      <x:c r="A238" s="24" t="n">
        <x:v>44136</x:v>
      </x:c>
      <x:c r="B238" s="25" t="str">
        <x:v>Bolån</x:v>
      </x:c>
      <x:c r="C238" s="25" t="str">
        <x:v>Stadshypotek AB</x:v>
      </x:c>
      <x:c r="D238" s="25" t="str">
        <x:v>02-279136</x:v>
      </x:c>
      <x:c r="E238" s="25" t="str">
        <x:v>821823</x:v>
      </x:c>
      <x:c r="F238" s="29" t="str">
        <x:v>HSB Brf Siljan i Stockholm, lgh 178</x:v>
      </x:c>
      <x:c r="G238" s="26" t="n">
        <x:v>35000</x:v>
      </x:c>
      <x:c r="H238" s="27" t="n">
        <x:v>0.024300000000000002</x:v>
      </x:c>
      <x:c r="I238" s="24" t="n">
        <x:v>44105</x:v>
      </x:c>
      <x:c r="J238" s="28" t="n">
        <x:v>30</x:v>
      </x:c>
      <x:c r="K238" s="26" t="n">
        <x:v>71</x:v>
      </x:c>
      <x:c r="L238" s="26" t="n">
        <x:v>0</x:v>
      </x:c>
      <x:c r="M238" s="26" t="n">
        <x:v>0</x:v>
      </x:c>
      <x:c r="N238" s="26" t="n">
        <x:f>SUM(K238:M238)</x:f>
        <x:v>71</x:v>
      </x:c>
      <x:c r="O238" s="25" t="str">
        <x:v>2020-11-01_02-279136.pdf</x:v>
      </x:c>
      <x:c r="P238" s="28" t="n">
        <x:v>1</x:v>
      </x:c>
      <x:c r="Q238" s="29" t="str">
        <x:v>Ingen amorteringsrad redovisas på avin.</x:v>
      </x:c>
    </x:row>
    <x:row r="239">
      <x:c r="A239" s="24" t="n">
        <x:v>44166</x:v>
      </x:c>
      <x:c r="B239" s="25" t="str">
        <x:v>Bolån</x:v>
      </x:c>
      <x:c r="C239" s="25" t="str">
        <x:v>Stadshypotek AB</x:v>
      </x:c>
      <x:c r="D239" s="25" t="str">
        <x:v>02-279136</x:v>
      </x:c>
      <x:c r="E239" s="25" t="str">
        <x:v>821823</x:v>
      </x:c>
      <x:c r="F239" s="29" t="str">
        <x:v>HSB Brf Siljan i Stockholm, lgh 178</x:v>
      </x:c>
      <x:c r="G239" s="26" t="n">
        <x:v>35000</x:v>
      </x:c>
      <x:c r="H239" s="27" t="n">
        <x:v>0.024300000000000002</x:v>
      </x:c>
      <x:c r="I239" s="24" t="n">
        <x:v>44136</x:v>
      </x:c>
      <x:c r="J239" s="28" t="n">
        <x:v>30</x:v>
      </x:c>
      <x:c r="K239" s="26" t="n">
        <x:v>71</x:v>
      </x:c>
      <x:c r="L239" s="26" t="n">
        <x:v>0</x:v>
      </x:c>
      <x:c r="M239" s="26" t="n">
        <x:v>0</x:v>
      </x:c>
      <x:c r="N239" s="26" t="n">
        <x:f>SUM(K239:M239)</x:f>
        <x:v>71</x:v>
      </x:c>
      <x:c r="O239" s="25" t="str">
        <x:v>2020-12-01_02-279136.pdf</x:v>
      </x:c>
      <x:c r="P239" s="28" t="n">
        <x:v>1</x:v>
      </x:c>
      <x:c r="Q239" s="29" t="str">
        <x:v>Ingen amorteringsrad redovisas på avin.</x:v>
      </x:c>
    </x:row>
    <x:row r="240">
      <x:c r="A240" s="24" t="n">
        <x:v>44197</x:v>
      </x:c>
      <x:c r="B240" s="25" t="str">
        <x:v>Bolån</x:v>
      </x:c>
      <x:c r="C240" s="25" t="str">
        <x:v>Stadshypotek AB</x:v>
      </x:c>
      <x:c r="D240" s="25" t="str">
        <x:v>02-279136</x:v>
      </x:c>
      <x:c r="E240" s="25" t="str">
        <x:v>821823</x:v>
      </x:c>
      <x:c r="F240" s="29" t="str">
        <x:v>HSB Brf Siljan i Stockholm, lgh 178</x:v>
      </x:c>
      <x:c r="G240" s="26" t="n">
        <x:v>35000</x:v>
      </x:c>
      <x:c r="H240" s="27" t="n">
        <x:v>0.023399999999999997</x:v>
      </x:c>
      <x:c r="I240" s="24" t="n">
        <x:v>44166</x:v>
      </x:c>
      <x:c r="J240" s="28" t="n">
        <x:v>30</x:v>
      </x:c>
      <x:c r="K240" s="26" t="n">
        <x:v>68</x:v>
      </x:c>
      <x:c r="L240" s="26" t="n">
        <x:v>0</x:v>
      </x:c>
      <x:c r="M240" s="26" t="n">
        <x:v>0</x:v>
      </x:c>
      <x:c r="N240" s="26" t="n">
        <x:f>SUM(K240:M240)</x:f>
        <x:v>68</x:v>
      </x:c>
      <x:c r="O240" s="25" t="str">
        <x:v>2021-01-01_02-279136.pdf</x:v>
      </x:c>
      <x:c r="P240" s="28" t="n">
        <x:v>1</x:v>
      </x:c>
      <x:c r="Q240" s="29" t="str">
        <x:v>Ingen amorteringsrad redovisas på avin.</x:v>
      </x:c>
    </x:row>
    <x:row r="241">
      <x:c r="A241" s="24" t="n">
        <x:v>44228</x:v>
      </x:c>
      <x:c r="B241" s="25" t="str">
        <x:v>Bolån</x:v>
      </x:c>
      <x:c r="C241" s="25" t="str">
        <x:v>Stadshypotek AB</x:v>
      </x:c>
      <x:c r="D241" s="25" t="str">
        <x:v>02-279136</x:v>
      </x:c>
      <x:c r="E241" s="25" t="str">
        <x:v>821823</x:v>
      </x:c>
      <x:c r="F241" s="29" t="str">
        <x:v>HSB Brf Siljan i Stockholm, lgh 178</x:v>
      </x:c>
      <x:c r="G241" s="26" t="n">
        <x:v>35000</x:v>
      </x:c>
      <x:c r="H241" s="27" t="n">
        <x:v>0.023399999999999997</x:v>
      </x:c>
      <x:c r="I241" s="24" t="n">
        <x:v>44197</x:v>
      </x:c>
      <x:c r="J241" s="28" t="n">
        <x:v>30</x:v>
      </x:c>
      <x:c r="K241" s="26" t="n">
        <x:v>68</x:v>
      </x:c>
      <x:c r="L241" s="26" t="n">
        <x:v>0</x:v>
      </x:c>
      <x:c r="M241" s="26" t="n">
        <x:v>0</x:v>
      </x:c>
      <x:c r="N241" s="26" t="n">
        <x:f>SUM(K241:M241)</x:f>
        <x:v>68</x:v>
      </x:c>
      <x:c r="O241" s="25" t="str">
        <x:v>2021-02-01_02-279136.pdf</x:v>
      </x:c>
      <x:c r="P241" s="28" t="n">
        <x:v>1</x:v>
      </x:c>
      <x:c r="Q241" s="29" t="str">
        <x:v>Ingen amorteringsrad redovisas på avin.</x:v>
      </x:c>
    </x:row>
    <x:row r="242">
      <x:c r="A242" s="24" t="n">
        <x:v>44256</x:v>
      </x:c>
      <x:c r="B242" s="25" t="str">
        <x:v>Bolån</x:v>
      </x:c>
      <x:c r="C242" s="25" t="str">
        <x:v>Stadshypotek AB</x:v>
      </x:c>
      <x:c r="D242" s="25" t="str">
        <x:v>02-279136</x:v>
      </x:c>
      <x:c r="E242" s="25" t="str">
        <x:v>821823</x:v>
      </x:c>
      <x:c r="F242" s="29" t="str">
        <x:v>HSB Brf Siljan i Stockholm, lgh 178</x:v>
      </x:c>
      <x:c r="G242" s="26" t="n">
        <x:v>35000</x:v>
      </x:c>
      <x:c r="H242" s="27" t="n">
        <x:v>0.023399999999999997</x:v>
      </x:c>
      <x:c r="I242" s="24" t="n">
        <x:v>44228</x:v>
      </x:c>
      <x:c r="J242" s="28" t="n">
        <x:v>30</x:v>
      </x:c>
      <x:c r="K242" s="26" t="n">
        <x:v>68</x:v>
      </x:c>
      <x:c r="L242" s="26" t="n">
        <x:v>0</x:v>
      </x:c>
      <x:c r="M242" s="26" t="n">
        <x:v>0</x:v>
      </x:c>
      <x:c r="N242" s="26" t="n">
        <x:f>SUM(K242:M242)</x:f>
        <x:v>68</x:v>
      </x:c>
      <x:c r="O242" s="25" t="str">
        <x:v>2021-03-01_02-279136.pdf</x:v>
      </x:c>
      <x:c r="P242" s="28" t="n">
        <x:v>1</x:v>
      </x:c>
      <x:c r="Q242" s="29" t="str">
        <x:v>Ingen amorteringsrad redovisas på avin.</x:v>
      </x:c>
    </x:row>
    <x:row r="243">
      <x:c r="A243" s="24" t="n">
        <x:v>44287</x:v>
      </x:c>
      <x:c r="B243" s="25" t="str">
        <x:v>Bolån</x:v>
      </x:c>
      <x:c r="C243" s="25" t="str">
        <x:v>Stadshypotek AB</x:v>
      </x:c>
      <x:c r="D243" s="25" t="str">
        <x:v>02-279136</x:v>
      </x:c>
      <x:c r="E243" s="25" t="str">
        <x:v>821823</x:v>
      </x:c>
      <x:c r="F243" s="29" t="str">
        <x:v>HSB Brf Siljan i Stockholm, lgh 178</x:v>
      </x:c>
      <x:c r="G243" s="26" t="n">
        <x:v>35000</x:v>
      </x:c>
      <x:c r="H243" s="27" t="n">
        <x:v>0.023399999999999997</x:v>
      </x:c>
      <x:c r="I243" s="24" t="n">
        <x:v>44256</x:v>
      </x:c>
      <x:c r="J243" s="28" t="n">
        <x:v>30</x:v>
      </x:c>
      <x:c r="K243" s="26" t="n">
        <x:v>68</x:v>
      </x:c>
      <x:c r="L243" s="26" t="n">
        <x:v>0</x:v>
      </x:c>
      <x:c r="M243" s="26" t="n">
        <x:v>0</x:v>
      </x:c>
      <x:c r="N243" s="26" t="n">
        <x:f>SUM(K243:M243)</x:f>
        <x:v>68</x:v>
      </x:c>
      <x:c r="O243" s="25" t="str">
        <x:v>2021-04-01_02-279136.pdf</x:v>
      </x:c>
      <x:c r="P243" s="28" t="n">
        <x:v>1</x:v>
      </x:c>
      <x:c r="Q243" s="29" t="str">
        <x:v>Ingen amorteringsrad redovisas på avin.</x:v>
      </x:c>
    </x:row>
    <x:row r="244">
      <x:c r="A244" s="24" t="n">
        <x:v>44317</x:v>
      </x:c>
      <x:c r="B244" s="25" t="str">
        <x:v>Bolån</x:v>
      </x:c>
      <x:c r="C244" s="25" t="str">
        <x:v>Stadshypotek AB</x:v>
      </x:c>
      <x:c r="D244" s="25" t="str">
        <x:v>02-279136</x:v>
      </x:c>
      <x:c r="E244" s="25" t="str">
        <x:v>821823</x:v>
      </x:c>
      <x:c r="F244" s="29" t="str">
        <x:v>HSB Brf Siljan i Stockholm, lgh 178</x:v>
      </x:c>
      <x:c r="G244" s="26" t="n">
        <x:v>35000</x:v>
      </x:c>
      <x:c r="H244" s="27" t="n">
        <x:v>0.023399999999999997</x:v>
      </x:c>
      <x:c r="I244" s="24" t="n">
        <x:v>44287</x:v>
      </x:c>
      <x:c r="J244" s="28" t="n">
        <x:v>30</x:v>
      </x:c>
      <x:c r="K244" s="26" t="n">
        <x:v>68</x:v>
      </x:c>
      <x:c r="L244" s="26" t="n">
        <x:v>0</x:v>
      </x:c>
      <x:c r="M244" s="26" t="n">
        <x:v>0</x:v>
      </x:c>
      <x:c r="N244" s="26" t="n">
        <x:f>SUM(K244:M244)</x:f>
        <x:v>68</x:v>
      </x:c>
      <x:c r="O244" s="25" t="str">
        <x:v>2021-05-01_02-279136.pdf</x:v>
      </x:c>
      <x:c r="P244" s="28" t="n">
        <x:v>1</x:v>
      </x:c>
      <x:c r="Q244" s="29" t="str">
        <x:v>Ingen amorteringsrad redovisas på avin.</x:v>
      </x:c>
    </x:row>
    <x:row r="245">
      <x:c r="A245" s="24" t="n">
        <x:v>44348</x:v>
      </x:c>
      <x:c r="B245" s="25" t="str">
        <x:v>Bolån</x:v>
      </x:c>
      <x:c r="C245" s="25" t="str">
        <x:v>Stadshypotek AB</x:v>
      </x:c>
      <x:c r="D245" s="25" t="str">
        <x:v>02-279136</x:v>
      </x:c>
      <x:c r="E245" s="25" t="str">
        <x:v>821823</x:v>
      </x:c>
      <x:c r="F245" s="29" t="str">
        <x:v>HSB Brf Siljan i Stockholm, lgh 178</x:v>
      </x:c>
      <x:c r="G245" s="26" t="n">
        <x:v>35000</x:v>
      </x:c>
      <x:c r="H245" s="27" t="n">
        <x:v>0.023399999999999997</x:v>
      </x:c>
      <x:c r="I245" s="24" t="n">
        <x:v>44317</x:v>
      </x:c>
      <x:c r="J245" s="28" t="n">
        <x:v>30</x:v>
      </x:c>
      <x:c r="K245" s="26" t="n">
        <x:v>68</x:v>
      </x:c>
      <x:c r="L245" s="26" t="n">
        <x:v>0</x:v>
      </x:c>
      <x:c r="M245" s="26" t="n">
        <x:v>0</x:v>
      </x:c>
      <x:c r="N245" s="26" t="n">
        <x:f>SUM(K245:M245)</x:f>
        <x:v>68</x:v>
      </x:c>
      <x:c r="O245" s="25" t="str">
        <x:v>2021-06-01_02-279136.pdf</x:v>
      </x:c>
      <x:c r="P245" s="28" t="n">
        <x:v>1</x:v>
      </x:c>
      <x:c r="Q245" s="29" t="str">
        <x:v>Ingen amorteringsrad redovisas på avin.</x:v>
      </x:c>
    </x:row>
    <x:row r="246">
      <x:c r="A246" s="24" t="n">
        <x:v>44378</x:v>
      </x:c>
      <x:c r="B246" s="25" t="str">
        <x:v>Bolån</x:v>
      </x:c>
      <x:c r="C246" s="25" t="str">
        <x:v>Stadshypotek AB</x:v>
      </x:c>
      <x:c r="D246" s="25" t="str">
        <x:v>02-279136</x:v>
      </x:c>
      <x:c r="E246" s="25" t="str">
        <x:v>821823</x:v>
      </x:c>
      <x:c r="F246" s="29" t="str">
        <x:v>HSB Brf Siljan i Stockholm, lgh 178</x:v>
      </x:c>
      <x:c r="G246" s="26" t="n">
        <x:v>35000</x:v>
      </x:c>
      <x:c r="H246" s="27" t="n">
        <x:v>0.023399999999999997</x:v>
      </x:c>
      <x:c r="I246" s="24" t="n">
        <x:v>44348</x:v>
      </x:c>
      <x:c r="J246" s="28" t="n">
        <x:v>30</x:v>
      </x:c>
      <x:c r="K246" s="26" t="n">
        <x:v>68</x:v>
      </x:c>
      <x:c r="L246" s="26" t="n">
        <x:v>0</x:v>
      </x:c>
      <x:c r="M246" s="26" t="n">
        <x:v>0</x:v>
      </x:c>
      <x:c r="N246" s="26" t="n">
        <x:f>SUM(K246:M246)</x:f>
        <x:v>68</x:v>
      </x:c>
      <x:c r="O246" s="25" t="str">
        <x:v>2021-07-01_02-279136.pdf</x:v>
      </x:c>
      <x:c r="P246" s="28" t="n">
        <x:v>1</x:v>
      </x:c>
      <x:c r="Q246" s="29" t="str">
        <x:v>Ingen amorteringsrad redovisas på avin.</x:v>
      </x:c>
    </x:row>
    <x:row r="247">
      <x:c r="A247" s="24" t="n">
        <x:v>44409</x:v>
      </x:c>
      <x:c r="B247" s="25" t="str">
        <x:v>Bolån</x:v>
      </x:c>
      <x:c r="C247" s="25" t="str">
        <x:v>Stadshypotek AB</x:v>
      </x:c>
      <x:c r="D247" s="25" t="str">
        <x:v>02-279136</x:v>
      </x:c>
      <x:c r="E247" s="25" t="str">
        <x:v>821823</x:v>
      </x:c>
      <x:c r="F247" s="29" t="str">
        <x:v>HSB Brf Siljan i Stockholm, lgh 178</x:v>
      </x:c>
      <x:c r="G247" s="26" t="n">
        <x:v>35000</x:v>
      </x:c>
      <x:c r="H247" s="27" t="n">
        <x:v>0.023399999999999997</x:v>
      </x:c>
      <x:c r="I247" s="24" t="n">
        <x:v>44378</x:v>
      </x:c>
      <x:c r="J247" s="28" t="n">
        <x:v>30</x:v>
      </x:c>
      <x:c r="K247" s="26" t="n">
        <x:v>68</x:v>
      </x:c>
      <x:c r="L247" s="26" t="n">
        <x:v>0</x:v>
      </x:c>
      <x:c r="M247" s="26" t="n">
        <x:v>0</x:v>
      </x:c>
      <x:c r="N247" s="26" t="n">
        <x:f>SUM(K247:M247)</x:f>
        <x:v>68</x:v>
      </x:c>
      <x:c r="O247" s="25" t="str">
        <x:v>2021-08-01_02-279136.pdf</x:v>
      </x:c>
      <x:c r="P247" s="28" t="n">
        <x:v>1</x:v>
      </x:c>
      <x:c r="Q247" s="29" t="str">
        <x:v>Ingen amorteringsrad redovisas på avin.</x:v>
      </x:c>
    </x:row>
    <x:row r="248">
      <x:c r="A248" s="24" t="n">
        <x:v>44440</x:v>
      </x:c>
      <x:c r="B248" s="25" t="str">
        <x:v>Bolån</x:v>
      </x:c>
      <x:c r="C248" s="25" t="str">
        <x:v>Stadshypotek AB</x:v>
      </x:c>
      <x:c r="D248" s="25" t="str">
        <x:v>02-279136</x:v>
      </x:c>
      <x:c r="E248" s="25" t="str">
        <x:v>821823</x:v>
      </x:c>
      <x:c r="F248" s="29" t="str">
        <x:v>HSB Brf Siljan i Stockholm, lgh 178</x:v>
      </x:c>
      <x:c r="G248" s="26" t="n">
        <x:v>35000</x:v>
      </x:c>
      <x:c r="H248" s="27" t="n">
        <x:v>0.023399999999999997</x:v>
      </x:c>
      <x:c r="I248" s="24" t="n">
        <x:v>44409</x:v>
      </x:c>
      <x:c r="J248" s="28" t="n">
        <x:v>30</x:v>
      </x:c>
      <x:c r="K248" s="26" t="n">
        <x:v>68</x:v>
      </x:c>
      <x:c r="L248" s="26" t="n">
        <x:v>0</x:v>
      </x:c>
      <x:c r="M248" s="26" t="n">
        <x:v>0</x:v>
      </x:c>
      <x:c r="N248" s="26" t="n">
        <x:f>SUM(K248:M248)</x:f>
        <x:v>68</x:v>
      </x:c>
      <x:c r="O248" s="25" t="str">
        <x:v>2021-09-01_02-279136.pdf</x:v>
      </x:c>
      <x:c r="P248" s="28" t="n">
        <x:v>1</x:v>
      </x:c>
      <x:c r="Q248" s="29" t="str">
        <x:v>Ingen amorteringsrad redovisas på avin.</x:v>
      </x:c>
    </x:row>
    <x:row r="249">
      <x:c r="A249" s="24" t="n">
        <x:v>44470</x:v>
      </x:c>
      <x:c r="B249" s="25" t="str">
        <x:v>Bolån</x:v>
      </x:c>
      <x:c r="C249" s="25" t="str">
        <x:v>Stadshypotek AB</x:v>
      </x:c>
      <x:c r="D249" s="25" t="str">
        <x:v>02-279136</x:v>
      </x:c>
      <x:c r="E249" s="25" t="str">
        <x:v>821823</x:v>
      </x:c>
      <x:c r="F249" s="29" t="str">
        <x:v>HSB Brf Siljan i Stockholm, lgh 178</x:v>
      </x:c>
      <x:c r="G249" s="26" t="n">
        <x:v>35000</x:v>
      </x:c>
      <x:c r="H249" s="27" t="n">
        <x:v>0.023399999999999997</x:v>
      </x:c>
      <x:c r="I249" s="24" t="n">
        <x:v>44440</x:v>
      </x:c>
      <x:c r="J249" s="28" t="n">
        <x:v>30</x:v>
      </x:c>
      <x:c r="K249" s="26" t="n">
        <x:v>68</x:v>
      </x:c>
      <x:c r="L249" s="26" t="n">
        <x:v>0</x:v>
      </x:c>
      <x:c r="M249" s="26" t="n">
        <x:v>0</x:v>
      </x:c>
      <x:c r="N249" s="26" t="n">
        <x:f>SUM(K249:M249)</x:f>
        <x:v>68</x:v>
      </x:c>
      <x:c r="O249" s="25" t="str">
        <x:v>2021-10-01_02-279136.pdf</x:v>
      </x:c>
      <x:c r="P249" s="28" t="n">
        <x:v>1</x:v>
      </x:c>
      <x:c r="Q249" s="29" t="str">
        <x:v>Ingen amorteringsrad redovisas på avin.</x:v>
      </x:c>
    </x:row>
    <x:row r="250">
      <x:c r="A250" s="24" t="n">
        <x:v>44501</x:v>
      </x:c>
      <x:c r="B250" s="25" t="str">
        <x:v>Bolån</x:v>
      </x:c>
      <x:c r="C250" s="25" t="str">
        <x:v>Stadshypotek AB</x:v>
      </x:c>
      <x:c r="D250" s="25" t="str">
        <x:v>02-279136</x:v>
      </x:c>
      <x:c r="E250" s="25" t="str">
        <x:v>821823</x:v>
      </x:c>
      <x:c r="F250" s="29" t="str">
        <x:v>HSB Brf Siljan i Stockholm, lgh 178</x:v>
      </x:c>
      <x:c r="G250" s="26" t="n">
        <x:v>35000</x:v>
      </x:c>
      <x:c r="H250" s="27" t="n">
        <x:v>0.023399999999999997</x:v>
      </x:c>
      <x:c r="I250" s="24" t="n">
        <x:v>44470</x:v>
      </x:c>
      <x:c r="J250" s="28" t="n">
        <x:v>30</x:v>
      </x:c>
      <x:c r="K250" s="26" t="n">
        <x:v>68</x:v>
      </x:c>
      <x:c r="L250" s="26" t="n">
        <x:v>0</x:v>
      </x:c>
      <x:c r="M250" s="26" t="n">
        <x:v>0</x:v>
      </x:c>
      <x:c r="N250" s="26" t="n">
        <x:f>SUM(K250:M250)</x:f>
        <x:v>68</x:v>
      </x:c>
      <x:c r="O250" s="25" t="str">
        <x:v>2021-11-01_02-279136.pdf</x:v>
      </x:c>
      <x:c r="P250" s="28" t="n">
        <x:v>1</x:v>
      </x:c>
      <x:c r="Q250" s="29" t="str">
        <x:v>Ingen amorteringsrad redovisas på avin.</x:v>
      </x:c>
    </x:row>
    <x:row r="251">
      <x:c r="A251" s="24" t="n">
        <x:v>44531</x:v>
      </x:c>
      <x:c r="B251" s="25" t="str">
        <x:v>Bolån</x:v>
      </x:c>
      <x:c r="C251" s="25" t="str">
        <x:v>Stadshypotek AB</x:v>
      </x:c>
      <x:c r="D251" s="25" t="str">
        <x:v>02-279136</x:v>
      </x:c>
      <x:c r="E251" s="25" t="str">
        <x:v>821823</x:v>
      </x:c>
      <x:c r="F251" s="29" t="str">
        <x:v>HSB Brf Siljan i Stockholm, lgh 178</x:v>
      </x:c>
      <x:c r="G251" s="26" t="n">
        <x:v>35000</x:v>
      </x:c>
      <x:c r="H251" s="27" t="n">
        <x:v>0.023399999999999997</x:v>
      </x:c>
      <x:c r="I251" s="24" t="n">
        <x:v>44501</x:v>
      </x:c>
      <x:c r="J251" s="28" t="n">
        <x:v>30</x:v>
      </x:c>
      <x:c r="K251" s="26" t="n">
        <x:v>68</x:v>
      </x:c>
      <x:c r="L251" s="26" t="n">
        <x:v>0</x:v>
      </x:c>
      <x:c r="M251" s="26" t="n">
        <x:v>0</x:v>
      </x:c>
      <x:c r="N251" s="26" t="n">
        <x:f>SUM(K251:M251)</x:f>
        <x:v>68</x:v>
      </x:c>
      <x:c r="O251" s="25" t="str">
        <x:v>2021-12-01_02-279136.pdf</x:v>
      </x:c>
      <x:c r="P251" s="28" t="n">
        <x:v>1</x:v>
      </x:c>
      <x:c r="Q251" s="29" t="str">
        <x:v>Ingen amorteringsrad redovisas på avin.</x:v>
      </x:c>
    </x:row>
    <x:row r="252">
      <x:c r="A252" s="24" t="n">
        <x:v>44562</x:v>
      </x:c>
      <x:c r="B252" s="25" t="str">
        <x:v>Bolån</x:v>
      </x:c>
      <x:c r="C252" s="25" t="str">
        <x:v>Stadshypotek AB</x:v>
      </x:c>
      <x:c r="D252" s="25" t="str">
        <x:v>02-279136</x:v>
      </x:c>
      <x:c r="E252" s="25" t="str">
        <x:v>821823</x:v>
      </x:c>
      <x:c r="F252" s="29" t="str">
        <x:v>HSB Brf Siljan i Stockholm, lgh 178</x:v>
      </x:c>
      <x:c r="G252" s="26" t="n">
        <x:v>35000</x:v>
      </x:c>
      <x:c r="H252" s="27" t="n">
        <x:v>0.023399999999999997</x:v>
      </x:c>
      <x:c r="I252" s="24" t="n">
        <x:v>44531</x:v>
      </x:c>
      <x:c r="J252" s="28" t="n">
        <x:v>30</x:v>
      </x:c>
      <x:c r="K252" s="26" t="n">
        <x:v>68</x:v>
      </x:c>
      <x:c r="L252" s="26" t="n">
        <x:v>0</x:v>
      </x:c>
      <x:c r="M252" s="26" t="n">
        <x:v>0</x:v>
      </x:c>
      <x:c r="N252" s="26" t="n">
        <x:f>SUM(K252:M252)</x:f>
        <x:v>68</x:v>
      </x:c>
      <x:c r="O252" s="25" t="str">
        <x:v>2022-01-01_02-279136.pdf</x:v>
      </x:c>
      <x:c r="P252" s="28" t="n">
        <x:v>1</x:v>
      </x:c>
      <x:c r="Q252" s="29" t="str">
        <x:v>Ingen amorteringsrad redovisas på avin.</x:v>
      </x:c>
    </x:row>
    <x:row r="253">
      <x:c r="A253" s="24" t="n">
        <x:v>44593</x:v>
      </x:c>
      <x:c r="B253" s="25" t="str">
        <x:v>Bolån</x:v>
      </x:c>
      <x:c r="C253" s="25" t="str">
        <x:v>Stadshypotek AB</x:v>
      </x:c>
      <x:c r="D253" s="25" t="str">
        <x:v>02-279136</x:v>
      </x:c>
      <x:c r="E253" s="25" t="str">
        <x:v>821823</x:v>
      </x:c>
      <x:c r="F253" s="29" t="str">
        <x:v>HSB Brf Siljan i Stockholm, lgh 178</x:v>
      </x:c>
      <x:c r="G253" s="26" t="n">
        <x:v>35000</x:v>
      </x:c>
      <x:c r="H253" s="27" t="n">
        <x:v>0.023399999999999997</x:v>
      </x:c>
      <x:c r="I253" s="24" t="n">
        <x:v>44562</x:v>
      </x:c>
      <x:c r="J253" s="28" t="n">
        <x:v>30</x:v>
      </x:c>
      <x:c r="K253" s="26" t="n">
        <x:v>68</x:v>
      </x:c>
      <x:c r="L253" s="26" t="n">
        <x:v>0</x:v>
      </x:c>
      <x:c r="M253" s="26" t="n">
        <x:v>0</x:v>
      </x:c>
      <x:c r="N253" s="26" t="n">
        <x:f>SUM(K253:M253)</x:f>
        <x:v>68</x:v>
      </x:c>
      <x:c r="O253" s="25" t="str">
        <x:v>2022-02-01_02-279136.pdf</x:v>
      </x:c>
      <x:c r="P253" s="28" t="n">
        <x:v>1</x:v>
      </x:c>
      <x:c r="Q253" s="29" t="str">
        <x:v>Ingen amorteringsrad redovisas på avin.</x:v>
      </x:c>
    </x:row>
    <x:row r="254">
      <x:c r="A254" s="24" t="n">
        <x:v>44621</x:v>
      </x:c>
      <x:c r="B254" s="25" t="str">
        <x:v>Bolån</x:v>
      </x:c>
      <x:c r="C254" s="25" t="str">
        <x:v>Stadshypotek AB</x:v>
      </x:c>
      <x:c r="D254" s="25" t="str">
        <x:v>02-279136</x:v>
      </x:c>
      <x:c r="E254" s="25" t="str">
        <x:v>821823</x:v>
      </x:c>
      <x:c r="F254" s="29" t="str">
        <x:v>HSB Brf Siljan i Stockholm, lgh 178</x:v>
      </x:c>
      <x:c r="G254" s="26" t="n">
        <x:v>35000</x:v>
      </x:c>
      <x:c r="H254" s="27" t="n">
        <x:v>0.023399999999999997</x:v>
      </x:c>
      <x:c r="I254" s="24" t="n">
        <x:v>44593</x:v>
      </x:c>
      <x:c r="J254" s="28" t="n">
        <x:v>30</x:v>
      </x:c>
      <x:c r="K254" s="26" t="n">
        <x:v>68</x:v>
      </x:c>
      <x:c r="L254" s="26" t="n">
        <x:v>0</x:v>
      </x:c>
      <x:c r="M254" s="26" t="n">
        <x:v>0</x:v>
      </x:c>
      <x:c r="N254" s="26" t="n">
        <x:f>SUM(K254:M254)</x:f>
        <x:v>68</x:v>
      </x:c>
      <x:c r="O254" s="25" t="str">
        <x:v>2022-03-01_02-279136.pdf</x:v>
      </x:c>
      <x:c r="P254" s="28" t="n">
        <x:v>1</x:v>
      </x:c>
      <x:c r="Q254" s="29" t="str">
        <x:v>Ingen amorteringsrad redovisas på avin.</x:v>
      </x:c>
    </x:row>
    <x:row r="255">
      <x:c r="A255" s="24" t="n">
        <x:v>44652</x:v>
      </x:c>
      <x:c r="B255" s="25" t="str">
        <x:v>Bolån</x:v>
      </x:c>
      <x:c r="C255" s="25" t="str">
        <x:v>Stadshypotek AB</x:v>
      </x:c>
      <x:c r="D255" s="25" t="str">
        <x:v>02-279136</x:v>
      </x:c>
      <x:c r="E255" s="25" t="str">
        <x:v>821823</x:v>
      </x:c>
      <x:c r="F255" s="29" t="str">
        <x:v>HSB Brf Siljan i Stockholm, lgh 178</x:v>
      </x:c>
      <x:c r="G255" s="26" t="n">
        <x:v>35000</x:v>
      </x:c>
      <x:c r="H255" s="27" t="n">
        <x:v>0.0239</x:v>
      </x:c>
      <x:c r="I255" s="24" t="n">
        <x:v>44621</x:v>
      </x:c>
      <x:c r="J255" s="28" t="n">
        <x:v>30</x:v>
      </x:c>
      <x:c r="K255" s="26" t="n">
        <x:v>70</x:v>
      </x:c>
      <x:c r="L255" s="26" t="n">
        <x:v>0</x:v>
      </x:c>
      <x:c r="M255" s="26" t="n">
        <x:v>0</x:v>
      </x:c>
      <x:c r="N255" s="26" t="n">
        <x:f>SUM(K255:M255)</x:f>
        <x:v>70</x:v>
      </x:c>
      <x:c r="O255" s="25" t="str">
        <x:v>2022-04-01_02-279136.pdf</x:v>
      </x:c>
      <x:c r="P255" s="28" t="n">
        <x:v>1</x:v>
      </x:c>
      <x:c r="Q255" s="29" t="str">
        <x:v>Ingen amorteringsrad redovisas på avin.</x:v>
      </x:c>
    </x:row>
    <x:row r="256">
      <x:c r="A256" s="24" t="n">
        <x:v>44682</x:v>
      </x:c>
      <x:c r="B256" s="25" t="str">
        <x:v>Bolån</x:v>
      </x:c>
      <x:c r="C256" s="25" t="str">
        <x:v>Stadshypotek AB</x:v>
      </x:c>
      <x:c r="D256" s="25" t="str">
        <x:v>02-279136</x:v>
      </x:c>
      <x:c r="E256" s="25" t="str">
        <x:v>821823</x:v>
      </x:c>
      <x:c r="F256" s="29" t="str">
        <x:v>HSB Brf Siljan i Stockholm, lgh 178</x:v>
      </x:c>
      <x:c r="G256" s="26" t="n">
        <x:v>35000</x:v>
      </x:c>
      <x:c r="H256" s="27" t="n">
        <x:v>0.0239</x:v>
      </x:c>
      <x:c r="I256" s="24" t="n">
        <x:v>44652</x:v>
      </x:c>
      <x:c r="J256" s="28" t="n">
        <x:v>30</x:v>
      </x:c>
      <x:c r="K256" s="26" t="n">
        <x:v>70</x:v>
      </x:c>
      <x:c r="L256" s="26" t="n">
        <x:v>0</x:v>
      </x:c>
      <x:c r="M256" s="26" t="n">
        <x:v>0</x:v>
      </x:c>
      <x:c r="N256" s="26" t="n">
        <x:f>SUM(K256:M256)</x:f>
        <x:v>70</x:v>
      </x:c>
      <x:c r="O256" s="25" t="str">
        <x:v>2022-05-01_02-279136.pdf</x:v>
      </x:c>
      <x:c r="P256" s="28" t="n">
        <x:v>1</x:v>
      </x:c>
      <x:c r="Q256" s="29" t="str">
        <x:v>Ingen amorteringsrad redovisas på avin.</x:v>
      </x:c>
    </x:row>
    <x:row r="257">
      <x:c r="A257" s="24" t="n">
        <x:v>44713</x:v>
      </x:c>
      <x:c r="B257" s="25" t="str">
        <x:v>Bolån</x:v>
      </x:c>
      <x:c r="C257" s="25" t="str">
        <x:v>Stadshypotek AB</x:v>
      </x:c>
      <x:c r="D257" s="25" t="str">
        <x:v>02-279136</x:v>
      </x:c>
      <x:c r="E257" s="25" t="str">
        <x:v>821823</x:v>
      </x:c>
      <x:c r="F257" s="29" t="str">
        <x:v>HSB Brf Siljan i Stockholm, lgh 178</x:v>
      </x:c>
      <x:c r="G257" s="26" t="n">
        <x:v>35000</x:v>
      </x:c>
      <x:c r="H257" s="27" t="n">
        <x:v>0.0239</x:v>
      </x:c>
      <x:c r="I257" s="24" t="n">
        <x:v>44682</x:v>
      </x:c>
      <x:c r="J257" s="28" t="n">
        <x:v>30</x:v>
      </x:c>
      <x:c r="K257" s="26" t="n">
        <x:v>70</x:v>
      </x:c>
      <x:c r="L257" s="26" t="n">
        <x:v>0</x:v>
      </x:c>
      <x:c r="M257" s="26" t="n">
        <x:v>0</x:v>
      </x:c>
      <x:c r="N257" s="26" t="n">
        <x:f>SUM(K257:M257)</x:f>
        <x:v>70</x:v>
      </x:c>
      <x:c r="O257" s="25" t="str">
        <x:v>2022-06-01_02-279136.pdf</x:v>
      </x:c>
      <x:c r="P257" s="28" t="n">
        <x:v>1</x:v>
      </x:c>
      <x:c r="Q257" s="29" t="str">
        <x:v>Ingen amorteringsrad redovisas på avin.</x:v>
      </x:c>
    </x:row>
    <x:row r="258">
      <x:c r="A258" s="24" t="n">
        <x:v>44743</x:v>
      </x:c>
      <x:c r="B258" s="25" t="str">
        <x:v>Bolån</x:v>
      </x:c>
      <x:c r="C258" s="25" t="str">
        <x:v>Stadshypotek AB</x:v>
      </x:c>
      <x:c r="D258" s="25" t="str">
        <x:v>02-279136</x:v>
      </x:c>
      <x:c r="E258" s="25" t="str">
        <x:v>821823</x:v>
      </x:c>
      <x:c r="F258" s="29" t="str">
        <x:v>HSB Brf Siljan i Stockholm, lgh 178</x:v>
      </x:c>
      <x:c r="G258" s="26" t="n">
        <x:v>35000</x:v>
      </x:c>
      <x:c r="H258" s="27" t="n">
        <x:v>0.0269</x:v>
      </x:c>
      <x:c r="I258" s="24" t="n">
        <x:v>44713</x:v>
      </x:c>
      <x:c r="J258" s="28" t="n">
        <x:v>30</x:v>
      </x:c>
      <x:c r="K258" s="26" t="n">
        <x:v>78</x:v>
      </x:c>
      <x:c r="L258" s="26" t="n">
        <x:v>0</x:v>
      </x:c>
      <x:c r="M258" s="26" t="n">
        <x:v>0</x:v>
      </x:c>
      <x:c r="N258" s="26" t="n">
        <x:f>SUM(K258:M258)</x:f>
        <x:v>78</x:v>
      </x:c>
      <x:c r="O258" s="25" t="str">
        <x:v>2022-07-01_02-279136.pdf</x:v>
      </x:c>
      <x:c r="P258" s="28" t="n">
        <x:v>1</x:v>
      </x:c>
      <x:c r="Q258" s="29" t="str">
        <x:v>Ingen amorteringsrad redovisas på avin.</x:v>
      </x:c>
    </x:row>
    <x:row r="259">
      <x:c r="A259" s="24" t="n">
        <x:v>44774</x:v>
      </x:c>
      <x:c r="B259" s="25" t="str">
        <x:v>Bolån</x:v>
      </x:c>
      <x:c r="C259" s="25" t="str">
        <x:v>Stadshypotek AB</x:v>
      </x:c>
      <x:c r="D259" s="25" t="str">
        <x:v>02-279136</x:v>
      </x:c>
      <x:c r="E259" s="25" t="str">
        <x:v>821823</x:v>
      </x:c>
      <x:c r="F259" s="29" t="str">
        <x:v>HSB Brf Siljan i Stockholm, lgh 178</x:v>
      </x:c>
      <x:c r="G259" s="26" t="n">
        <x:v>35000</x:v>
      </x:c>
      <x:c r="H259" s="27" t="n">
        <x:v>0.0269</x:v>
      </x:c>
      <x:c r="I259" s="24" t="n">
        <x:v>44743</x:v>
      </x:c>
      <x:c r="J259" s="28" t="n">
        <x:v>30</x:v>
      </x:c>
      <x:c r="K259" s="26" t="n">
        <x:v>78</x:v>
      </x:c>
      <x:c r="L259" s="26" t="n">
        <x:v>0</x:v>
      </x:c>
      <x:c r="M259" s="26" t="n">
        <x:v>0</x:v>
      </x:c>
      <x:c r="N259" s="26" t="n">
        <x:f>SUM(K259:M259)</x:f>
        <x:v>78</x:v>
      </x:c>
      <x:c r="O259" s="25" t="str">
        <x:v>2022-08-01_02-279136.pdf</x:v>
      </x:c>
      <x:c r="P259" s="28" t="n">
        <x:v>1</x:v>
      </x:c>
      <x:c r="Q259" s="29" t="str">
        <x:v>Ingen amorteringsrad redovisas på avin.</x:v>
      </x:c>
    </x:row>
    <x:row r="260">
      <x:c r="A260" s="24" t="n">
        <x:v>44805</x:v>
      </x:c>
      <x:c r="B260" s="25" t="str">
        <x:v>Bolån</x:v>
      </x:c>
      <x:c r="C260" s="25" t="str">
        <x:v>Stadshypotek AB</x:v>
      </x:c>
      <x:c r="D260" s="25" t="str">
        <x:v>02-279136</x:v>
      </x:c>
      <x:c r="E260" s="25" t="str">
        <x:v>821823</x:v>
      </x:c>
      <x:c r="F260" s="29" t="str">
        <x:v>HSB Brf Siljan i Stockholm, lgh 178</x:v>
      </x:c>
      <x:c r="G260" s="26" t="n">
        <x:v>35000</x:v>
      </x:c>
      <x:c r="H260" s="27" t="n">
        <x:v>0.0269</x:v>
      </x:c>
      <x:c r="I260" s="24" t="n">
        <x:v>44774</x:v>
      </x:c>
      <x:c r="J260" s="28" t="n">
        <x:v>30</x:v>
      </x:c>
      <x:c r="K260" s="26" t="n">
        <x:v>78</x:v>
      </x:c>
      <x:c r="L260" s="26" t="n">
        <x:v>0</x:v>
      </x:c>
      <x:c r="M260" s="26" t="n">
        <x:v>0</x:v>
      </x:c>
      <x:c r="N260" s="26" t="n">
        <x:f>SUM(K260:M260)</x:f>
        <x:v>78</x:v>
      </x:c>
      <x:c r="O260" s="25" t="str">
        <x:v>2022-09-01_02-279136.pdf</x:v>
      </x:c>
      <x:c r="P260" s="28" t="n">
        <x:v>1</x:v>
      </x:c>
      <x:c r="Q260" s="29" t="str">
        <x:v>Ingen amorteringsrad redovisas på avin.</x:v>
      </x:c>
    </x:row>
    <x:row r="261">
      <x:c r="A261" s="24" t="n">
        <x:v>44835</x:v>
      </x:c>
      <x:c r="B261" s="25" t="str">
        <x:v>Bolån</x:v>
      </x:c>
      <x:c r="C261" s="25" t="str">
        <x:v>Stadshypotek AB</x:v>
      </x:c>
      <x:c r="D261" s="25" t="str">
        <x:v>02-279136</x:v>
      </x:c>
      <x:c r="E261" s="25" t="str">
        <x:v>821823</x:v>
      </x:c>
      <x:c r="F261" s="29" t="str">
        <x:v>HSB Brf Siljan i Stockholm, lgh 178</x:v>
      </x:c>
      <x:c r="G261" s="26" t="n">
        <x:v>35000</x:v>
      </x:c>
      <x:c r="H261" s="27" t="n">
        <x:v>0.0349</x:v>
      </x:c>
      <x:c r="I261" s="24" t="n">
        <x:v>44805</x:v>
      </x:c>
      <x:c r="J261" s="28" t="n">
        <x:v>30</x:v>
      </x:c>
      <x:c r="K261" s="26" t="n">
        <x:v>102</x:v>
      </x:c>
      <x:c r="L261" s="26" t="n">
        <x:v>0</x:v>
      </x:c>
      <x:c r="M261" s="26" t="n">
        <x:v>0</x:v>
      </x:c>
      <x:c r="N261" s="26" t="n">
        <x:f>SUM(K261:M261)</x:f>
        <x:v>102</x:v>
      </x:c>
      <x:c r="O261" s="25" t="str">
        <x:v>2022-10-01_02-279136.pdf</x:v>
      </x:c>
      <x:c r="P261" s="28" t="n">
        <x:v>1</x:v>
      </x:c>
      <x:c r="Q261" s="29" t="str">
        <x:v>Ingen amorteringsrad redovisas på avin.</x:v>
      </x:c>
    </x:row>
    <x:row r="262">
      <x:c r="A262" s="24" t="n">
        <x:v>44866</x:v>
      </x:c>
      <x:c r="B262" s="25" t="str">
        <x:v>Bolån</x:v>
      </x:c>
      <x:c r="C262" s="25" t="str">
        <x:v>Stadshypotek AB</x:v>
      </x:c>
      <x:c r="D262" s="25" t="str">
        <x:v>02-279136</x:v>
      </x:c>
      <x:c r="E262" s="25" t="str">
        <x:v>821823</x:v>
      </x:c>
      <x:c r="F262" s="29" t="str">
        <x:v>HSB Brf Siljan i Stockholm, lgh 178</x:v>
      </x:c>
      <x:c r="G262" s="26" t="n">
        <x:v>35000</x:v>
      </x:c>
      <x:c r="H262" s="27" t="n">
        <x:v>0.0349</x:v>
      </x:c>
      <x:c r="I262" s="24" t="n">
        <x:v>44835</x:v>
      </x:c>
      <x:c r="J262" s="28" t="n">
        <x:v>30</x:v>
      </x:c>
      <x:c r="K262" s="26" t="n">
        <x:v>102</x:v>
      </x:c>
      <x:c r="L262" s="26" t="n">
        <x:v>0</x:v>
      </x:c>
      <x:c r="M262" s="26" t="n">
        <x:v>0</x:v>
      </x:c>
      <x:c r="N262" s="26" t="n">
        <x:f>SUM(K262:M262)</x:f>
        <x:v>102</x:v>
      </x:c>
      <x:c r="O262" s="25" t="str">
        <x:v>2022-11-01_02-279136.pdf</x:v>
      </x:c>
      <x:c r="P262" s="28" t="n">
        <x:v>1</x:v>
      </x:c>
      <x:c r="Q262" s="29" t="str">
        <x:v>Ingen amorteringsrad redovisas på avin.</x:v>
      </x:c>
    </x:row>
    <x:row r="263">
      <x:c r="A263" s="24" t="n">
        <x:v>44896</x:v>
      </x:c>
      <x:c r="B263" s="25" t="str">
        <x:v>Bolån</x:v>
      </x:c>
      <x:c r="C263" s="25" t="str">
        <x:v>Stadshypotek AB</x:v>
      </x:c>
      <x:c r="D263" s="25" t="str">
        <x:v>02-279136</x:v>
      </x:c>
      <x:c r="E263" s="25" t="str">
        <x:v>821823</x:v>
      </x:c>
      <x:c r="F263" s="29" t="str">
        <x:v>HSB Brf Siljan i Stockholm, lgh 178</x:v>
      </x:c>
      <x:c r="G263" s="26" t="n">
        <x:v>35000</x:v>
      </x:c>
      <x:c r="H263" s="27" t="n">
        <x:v>0.0349</x:v>
      </x:c>
      <x:c r="I263" s="24" t="n">
        <x:v>44866</x:v>
      </x:c>
      <x:c r="J263" s="28" t="n">
        <x:v>30</x:v>
      </x:c>
      <x:c r="K263" s="26" t="n">
        <x:v>102</x:v>
      </x:c>
      <x:c r="L263" s="26" t="n">
        <x:v>0</x:v>
      </x:c>
      <x:c r="M263" s="26" t="n">
        <x:v>0</x:v>
      </x:c>
      <x:c r="N263" s="26" t="n">
        <x:f>SUM(K263:M263)</x:f>
        <x:v>102</x:v>
      </x:c>
      <x:c r="O263" s="25" t="str">
        <x:v>2022-12-01_02-279136.pdf</x:v>
      </x:c>
      <x:c r="P263" s="28" t="n">
        <x:v>1</x:v>
      </x:c>
      <x:c r="Q263" s="29" t="str">
        <x:v>Ingen amorteringsrad redovisas på avin.</x:v>
      </x:c>
    </x:row>
    <x:row r="264">
      <x:c r="A264" s="24" t="n">
        <x:v>44927</x:v>
      </x:c>
      <x:c r="B264" s="25" t="str">
        <x:v>Bolån</x:v>
      </x:c>
      <x:c r="C264" s="25" t="str">
        <x:v>Stadshypotek AB</x:v>
      </x:c>
      <x:c r="D264" s="25" t="str">
        <x:v>02-279136</x:v>
      </x:c>
      <x:c r="E264" s="25" t="str">
        <x:v>821823</x:v>
      </x:c>
      <x:c r="F264" s="29" t="str">
        <x:v>HSB Brf Siljan i Stockholm, lgh 178</x:v>
      </x:c>
      <x:c r="G264" s="26" t="n">
        <x:v>35000</x:v>
      </x:c>
      <x:c r="H264" s="27" t="n">
        <x:v>0.0429</x:v>
      </x:c>
      <x:c r="I264" s="24" t="n">
        <x:v>44896</x:v>
      </x:c>
      <x:c r="J264" s="28" t="n">
        <x:v>30</x:v>
      </x:c>
      <x:c r="K264" s="26" t="n">
        <x:v>125</x:v>
      </x:c>
      <x:c r="L264" s="26" t="n">
        <x:v>0</x:v>
      </x:c>
      <x:c r="M264" s="26" t="n">
        <x:v>0</x:v>
      </x:c>
      <x:c r="N264" s="26" t="n">
        <x:f>SUM(K264:M264)</x:f>
        <x:v>125</x:v>
      </x:c>
      <x:c r="O264" s="25" t="str">
        <x:v>2023-01-01_02-279136.pdf</x:v>
      </x:c>
      <x:c r="P264" s="28" t="n">
        <x:v>1</x:v>
      </x:c>
      <x:c r="Q264" s="29" t="str">
        <x:v>Ingen amorteringsrad redovisas på avin.</x:v>
      </x:c>
    </x:row>
    <x:row r="265">
      <x:c r="A265" s="24" t="n">
        <x:v>44958</x:v>
      </x:c>
      <x:c r="B265" s="25" t="str">
        <x:v>Bolån</x:v>
      </x:c>
      <x:c r="C265" s="25" t="str">
        <x:v>Stadshypotek AB</x:v>
      </x:c>
      <x:c r="D265" s="25" t="str">
        <x:v>02-279136</x:v>
      </x:c>
      <x:c r="E265" s="25" t="str">
        <x:v>821823</x:v>
      </x:c>
      <x:c r="F265" s="29" t="str">
        <x:v>HSB Brf Siljan i Stockholm, lgh 178</x:v>
      </x:c>
      <x:c r="G265" s="26" t="n">
        <x:v>35000</x:v>
      </x:c>
      <x:c r="H265" s="27" t="n">
        <x:v>0.0429</x:v>
      </x:c>
      <x:c r="I265" s="24" t="n">
        <x:v>44927</x:v>
      </x:c>
      <x:c r="J265" s="28" t="n">
        <x:v>30</x:v>
      </x:c>
      <x:c r="K265" s="26" t="n">
        <x:v>125</x:v>
      </x:c>
      <x:c r="L265" s="26" t="n">
        <x:v>0</x:v>
      </x:c>
      <x:c r="M265" s="26" t="n">
        <x:v>0</x:v>
      </x:c>
      <x:c r="N265" s="26" t="n">
        <x:f>SUM(K265:M265)</x:f>
        <x:v>125</x:v>
      </x:c>
      <x:c r="O265" s="25" t="str">
        <x:v>2023-02-01_02-279136.pdf</x:v>
      </x:c>
      <x:c r="P265" s="28" t="n">
        <x:v>1</x:v>
      </x:c>
      <x:c r="Q265" s="29" t="str">
        <x:v>Ingen amorteringsrad redovisas på avin.</x:v>
      </x:c>
    </x:row>
    <x:row r="266">
      <x:c r="A266" s="24" t="n">
        <x:v>44986</x:v>
      </x:c>
      <x:c r="B266" s="25" t="str">
        <x:v>Bolån</x:v>
      </x:c>
      <x:c r="C266" s="25" t="str">
        <x:v>Stadshypotek AB</x:v>
      </x:c>
      <x:c r="D266" s="25" t="str">
        <x:v>02-279136</x:v>
      </x:c>
      <x:c r="E266" s="25" t="str">
        <x:v>821823</x:v>
      </x:c>
      <x:c r="F266" s="29" t="str">
        <x:v>HSB Brf Siljan i Stockholm, lgh 178</x:v>
      </x:c>
      <x:c r="G266" s="26" t="n">
        <x:v>35000</x:v>
      </x:c>
      <x:c r="H266" s="27" t="n">
        <x:v>0.0429</x:v>
      </x:c>
      <x:c r="I266" s="24" t="n">
        <x:v>44958</x:v>
      </x:c>
      <x:c r="J266" s="28" t="n">
        <x:v>30</x:v>
      </x:c>
      <x:c r="K266" s="26" t="n">
        <x:v>125</x:v>
      </x:c>
      <x:c r="L266" s="26" t="n">
        <x:v>0</x:v>
      </x:c>
      <x:c r="M266" s="26" t="n">
        <x:v>0</x:v>
      </x:c>
      <x:c r="N266" s="26" t="n">
        <x:f>SUM(K266:M266)</x:f>
        <x:v>125</x:v>
      </x:c>
      <x:c r="O266" s="25" t="str">
        <x:v>2023-03-01_02-279136.pdf</x:v>
      </x:c>
      <x:c r="P266" s="28" t="n">
        <x:v>1</x:v>
      </x:c>
      <x:c r="Q266" s="29" t="str">
        <x:v>Ingen amorteringsrad redovisas på avin.</x:v>
      </x:c>
    </x:row>
    <x:row r="267">
      <x:c r="A267" s="24" t="n">
        <x:v>45017</x:v>
      </x:c>
      <x:c r="B267" s="25" t="str">
        <x:v>Bolån</x:v>
      </x:c>
      <x:c r="C267" s="25" t="str">
        <x:v>Stadshypotek AB</x:v>
      </x:c>
      <x:c r="D267" s="25" t="str">
        <x:v>02-279136</x:v>
      </x:c>
      <x:c r="E267" s="25" t="str">
        <x:v>821823</x:v>
      </x:c>
      <x:c r="F267" s="29" t="str">
        <x:v>HSB Brf Siljan i Stockholm, lgh 178</x:v>
      </x:c>
      <x:c r="G267" s="26" t="n">
        <x:v>35000</x:v>
      </x:c>
      <x:c r="H267" s="27" t="n">
        <x:v>0.049400000000000006</x:v>
      </x:c>
      <x:c r="I267" s="24" t="n">
        <x:v>44986</x:v>
      </x:c>
      <x:c r="J267" s="28" t="n">
        <x:v>30</x:v>
      </x:c>
      <x:c r="K267" s="26" t="n">
        <x:v>144</x:v>
      </x:c>
      <x:c r="L267" s="26" t="n">
        <x:v>0</x:v>
      </x:c>
      <x:c r="M267" s="26" t="n">
        <x:v>0</x:v>
      </x:c>
      <x:c r="N267" s="26" t="n">
        <x:f>SUM(K267:M267)</x:f>
        <x:v>144</x:v>
      </x:c>
      <x:c r="O267" s="25" t="str">
        <x:v>2023-04-01_02-279136.pdf</x:v>
      </x:c>
      <x:c r="P267" s="28" t="n">
        <x:v>1</x:v>
      </x:c>
      <x:c r="Q267" s="29" t="str">
        <x:v>Ingen amorteringsrad redovisas på avin.</x:v>
      </x:c>
    </x:row>
    <x:row r="268">
      <x:c r="A268" s="24" t="n">
        <x:v>45047</x:v>
      </x:c>
      <x:c r="B268" s="25" t="str">
        <x:v>Bolån</x:v>
      </x:c>
      <x:c r="C268" s="25" t="str">
        <x:v>Stadshypotek AB</x:v>
      </x:c>
      <x:c r="D268" s="25" t="str">
        <x:v>02-279136</x:v>
      </x:c>
      <x:c r="E268" s="25" t="str">
        <x:v>821823</x:v>
      </x:c>
      <x:c r="F268" s="29" t="str">
        <x:v>HSB Brf Siljan i Stockholm, lgh 178</x:v>
      </x:c>
      <x:c r="G268" s="26" t="n">
        <x:v>35000</x:v>
      </x:c>
      <x:c r="H268" s="27" t="n">
        <x:v>0.049400000000000006</x:v>
      </x:c>
      <x:c r="I268" s="24" t="n">
        <x:v>45017</x:v>
      </x:c>
      <x:c r="J268" s="28" t="n">
        <x:v>30</x:v>
      </x:c>
      <x:c r="K268" s="26" t="n">
        <x:v>144</x:v>
      </x:c>
      <x:c r="L268" s="26" t="n">
        <x:v>0</x:v>
      </x:c>
      <x:c r="M268" s="26" t="n">
        <x:v>0</x:v>
      </x:c>
      <x:c r="N268" s="26" t="n">
        <x:f>SUM(K268:M268)</x:f>
        <x:v>144</x:v>
      </x:c>
      <x:c r="O268" s="25" t="str">
        <x:v>2023-05-01_02-279136.pdf</x:v>
      </x:c>
      <x:c r="P268" s="28" t="n">
        <x:v>1</x:v>
      </x:c>
      <x:c r="Q268" s="29" t="str">
        <x:v>Ingen amorteringsrad redovisas på avin.</x:v>
      </x:c>
    </x:row>
    <x:row r="269">
      <x:c r="A269" s="24" t="n">
        <x:v>45078</x:v>
      </x:c>
      <x:c r="B269" s="25" t="str">
        <x:v>Bolån</x:v>
      </x:c>
      <x:c r="C269" s="25" t="str">
        <x:v>Stadshypotek AB</x:v>
      </x:c>
      <x:c r="D269" s="25" t="str">
        <x:v>02-279136</x:v>
      </x:c>
      <x:c r="E269" s="25" t="str">
        <x:v>821823</x:v>
      </x:c>
      <x:c r="F269" s="29" t="str">
        <x:v>HSB Brf Siljan i Stockholm, lgh 178</x:v>
      </x:c>
      <x:c r="G269" s="26" t="n">
        <x:v>35000</x:v>
      </x:c>
      <x:c r="H269" s="27" t="n">
        <x:v>0.049400000000000006</x:v>
      </x:c>
      <x:c r="I269" s="24" t="n">
        <x:v>45047</x:v>
      </x:c>
      <x:c r="J269" s="28" t="n">
        <x:v>30</x:v>
      </x:c>
      <x:c r="K269" s="26" t="n">
        <x:v>144</x:v>
      </x:c>
      <x:c r="L269" s="26" t="n">
        <x:v>0</x:v>
      </x:c>
      <x:c r="M269" s="26" t="n">
        <x:v>0</x:v>
      </x:c>
      <x:c r="N269" s="26" t="n">
        <x:f>SUM(K269:M269)</x:f>
        <x:v>144</x:v>
      </x:c>
      <x:c r="O269" s="25" t="str">
        <x:v>2023-06-01_02-279136.pdf</x:v>
      </x:c>
      <x:c r="P269" s="28" t="n">
        <x:v>1</x:v>
      </x:c>
      <x:c r="Q269" s="29" t="str">
        <x:v>Ingen amorteringsrad redovisas på avin.</x:v>
      </x:c>
    </x:row>
    <x:row r="270">
      <x:c r="A270" s="24" t="n">
        <x:v>45108</x:v>
      </x:c>
      <x:c r="B270" s="25" t="str">
        <x:v>Bolån</x:v>
      </x:c>
      <x:c r="C270" s="25" t="str">
        <x:v>Stadshypotek AB</x:v>
      </x:c>
      <x:c r="D270" s="25" t="str">
        <x:v>02-279136</x:v>
      </x:c>
      <x:c r="E270" s="25" t="str">
        <x:v>821823</x:v>
      </x:c>
      <x:c r="F270" s="29" t="str">
        <x:v>HSB Brf Siljan i Stockholm, lgh 178</x:v>
      </x:c>
      <x:c r="G270" s="26" t="n">
        <x:v>35000</x:v>
      </x:c>
      <x:c r="H270" s="27" t="n">
        <x:v>0.054400000000000004</x:v>
      </x:c>
      <x:c r="I270" s="24" t="n">
        <x:v>45078</x:v>
      </x:c>
      <x:c r="J270" s="28" t="n">
        <x:v>30</x:v>
      </x:c>
      <x:c r="K270" s="26" t="n">
        <x:v>159</x:v>
      </x:c>
      <x:c r="L270" s="26" t="n">
        <x:v>0</x:v>
      </x:c>
      <x:c r="M270" s="26" t="n">
        <x:v>0</x:v>
      </x:c>
      <x:c r="N270" s="26" t="n">
        <x:f>SUM(K270:M270)</x:f>
        <x:v>159</x:v>
      </x:c>
      <x:c r="O270" s="25" t="str">
        <x:v>2023-07-01_02-279136.pdf</x:v>
      </x:c>
      <x:c r="P270" s="28" t="n">
        <x:v>1</x:v>
      </x:c>
      <x:c r="Q270" s="29" t="str">
        <x:v>Ingen amorteringsrad redovisas på avin.</x:v>
      </x:c>
    </x:row>
    <x:row r="271">
      <x:c r="A271" s="24" t="n">
        <x:v>45139</x:v>
      </x:c>
      <x:c r="B271" s="25" t="str">
        <x:v>Bolån</x:v>
      </x:c>
      <x:c r="C271" s="25" t="str">
        <x:v>Stadshypotek AB</x:v>
      </x:c>
      <x:c r="D271" s="25" t="str">
        <x:v>02-279136</x:v>
      </x:c>
      <x:c r="E271" s="25" t="str">
        <x:v>821823</x:v>
      </x:c>
      <x:c r="F271" s="29" t="str">
        <x:v>HSB Brf Siljan i Stockholm, lgh 178</x:v>
      </x:c>
      <x:c r="G271" s="26" t="n">
        <x:v>35000</x:v>
      </x:c>
      <x:c r="H271" s="27" t="n">
        <x:v>0.054400000000000004</x:v>
      </x:c>
      <x:c r="I271" s="24" t="n">
        <x:v>45108</x:v>
      </x:c>
      <x:c r="J271" s="28" t="n">
        <x:v>30</x:v>
      </x:c>
      <x:c r="K271" s="26" t="n">
        <x:v>159</x:v>
      </x:c>
      <x:c r="L271" s="26" t="n">
        <x:v>0</x:v>
      </x:c>
      <x:c r="M271" s="26" t="n">
        <x:v>0</x:v>
      </x:c>
      <x:c r="N271" s="26" t="n">
        <x:f>SUM(K271:M271)</x:f>
        <x:v>159</x:v>
      </x:c>
      <x:c r="O271" s="25" t="str">
        <x:v>2023-08-01_02-279136.pdf</x:v>
      </x:c>
      <x:c r="P271" s="28" t="n">
        <x:v>1</x:v>
      </x:c>
      <x:c r="Q271" s="29" t="str">
        <x:v>Ingen amorteringsrad redovisas på avin.</x:v>
      </x:c>
    </x:row>
    <x:row r="272">
      <x:c r="A272" s="24" t="n">
        <x:v>45170</x:v>
      </x:c>
      <x:c r="B272" s="25" t="str">
        <x:v>Bolån</x:v>
      </x:c>
      <x:c r="C272" s="25" t="str">
        <x:v>Stadshypotek AB</x:v>
      </x:c>
      <x:c r="D272" s="25" t="str">
        <x:v>02-279136</x:v>
      </x:c>
      <x:c r="E272" s="25" t="str">
        <x:v>821823</x:v>
      </x:c>
      <x:c r="F272" s="29" t="str">
        <x:v>HSB Brf Siljan i Stockholm, lgh 178</x:v>
      </x:c>
      <x:c r="G272" s="26" t="n">
        <x:v>35000</x:v>
      </x:c>
      <x:c r="H272" s="27" t="n">
        <x:v>0.054400000000000004</x:v>
      </x:c>
      <x:c r="I272" s="24" t="n">
        <x:v>45139</x:v>
      </x:c>
      <x:c r="J272" s="28" t="n">
        <x:v>30</x:v>
      </x:c>
      <x:c r="K272" s="26" t="n">
        <x:v>159</x:v>
      </x:c>
      <x:c r="L272" s="26" t="n">
        <x:v>0</x:v>
      </x:c>
      <x:c r="M272" s="26" t="n">
        <x:v>0</x:v>
      </x:c>
      <x:c r="N272" s="26" t="n">
        <x:f>SUM(K272:M272)</x:f>
        <x:v>159</x:v>
      </x:c>
      <x:c r="O272" s="25" t="str">
        <x:v>2023-09-01_02-279136.pdf</x:v>
      </x:c>
      <x:c r="P272" s="28" t="n">
        <x:v>1</x:v>
      </x:c>
      <x:c r="Q272" s="29" t="str">
        <x:v>Ingen amorteringsrad redovisas på avin.</x:v>
      </x:c>
    </x:row>
    <x:row r="273">
      <x:c r="A273" s="24" t="n">
        <x:v>45200</x:v>
      </x:c>
      <x:c r="B273" s="25" t="str">
        <x:v>Bolån</x:v>
      </x:c>
      <x:c r="C273" s="25" t="str">
        <x:v>Stadshypotek AB</x:v>
      </x:c>
      <x:c r="D273" s="25" t="str">
        <x:v>02-279136</x:v>
      </x:c>
      <x:c r="E273" s="25" t="str">
        <x:v>821823</x:v>
      </x:c>
      <x:c r="F273" s="29" t="str">
        <x:v>HSB Brf Siljan i Stockholm, lgh 178</x:v>
      </x:c>
      <x:c r="G273" s="26" t="n">
        <x:v>35000</x:v>
      </x:c>
      <x:c r="H273" s="27" t="n">
        <x:v>0.056900000000000006</x:v>
      </x:c>
      <x:c r="I273" s="24" t="n">
        <x:v>45170</x:v>
      </x:c>
      <x:c r="J273" s="28" t="n">
        <x:v>30</x:v>
      </x:c>
      <x:c r="K273" s="26" t="n">
        <x:v>166</x:v>
      </x:c>
      <x:c r="L273" s="26" t="n">
        <x:v>0</x:v>
      </x:c>
      <x:c r="M273" s="26" t="n">
        <x:v>0</x:v>
      </x:c>
      <x:c r="N273" s="26" t="n">
        <x:f>SUM(K273:M273)</x:f>
        <x:v>166</x:v>
      </x:c>
      <x:c r="O273" s="25" t="str">
        <x:v>2023-10-01_02-279136.pdf</x:v>
      </x:c>
      <x:c r="P273" s="28" t="n">
        <x:v>1</x:v>
      </x:c>
      <x:c r="Q273" s="29" t="str">
        <x:v>Ingen amorteringsrad redovisas på avin.</x:v>
      </x:c>
    </x:row>
    <x:row r="274">
      <x:c r="A274" s="24" t="n">
        <x:v>45231</x:v>
      </x:c>
      <x:c r="B274" s="25" t="str">
        <x:v>Bolån</x:v>
      </x:c>
      <x:c r="C274" s="25" t="str">
        <x:v>Stadshypotek AB</x:v>
      </x:c>
      <x:c r="D274" s="25" t="str">
        <x:v>02-279136</x:v>
      </x:c>
      <x:c r="E274" s="25" t="str">
        <x:v>821823</x:v>
      </x:c>
      <x:c r="F274" s="29" t="str">
        <x:v>HSB Brf Siljan i Stockholm, lgh 178</x:v>
      </x:c>
      <x:c r="G274" s="26" t="n">
        <x:v>35000</x:v>
      </x:c>
      <x:c r="H274" s="27" t="n">
        <x:v>0.056900000000000006</x:v>
      </x:c>
      <x:c r="I274" s="24" t="n">
        <x:v>45200</x:v>
      </x:c>
      <x:c r="J274" s="28" t="n">
        <x:v>30</x:v>
      </x:c>
      <x:c r="K274" s="26" t="n">
        <x:v>166</x:v>
      </x:c>
      <x:c r="L274" s="26" t="n">
        <x:v>0</x:v>
      </x:c>
      <x:c r="M274" s="26" t="n">
        <x:v>0</x:v>
      </x:c>
      <x:c r="N274" s="26" t="n">
        <x:f>SUM(K274:M274)</x:f>
        <x:v>166</x:v>
      </x:c>
      <x:c r="O274" s="25" t="str">
        <x:v>2023-11-01_02-279136.pdf</x:v>
      </x:c>
      <x:c r="P274" s="28" t="n">
        <x:v>1</x:v>
      </x:c>
      <x:c r="Q274" s="29" t="str">
        <x:v>Ingen amorteringsrad redovisas på avin.</x:v>
      </x:c>
    </x:row>
    <x:row r="275">
      <x:c r="A275" s="24" t="n">
        <x:v>45261</x:v>
      </x:c>
      <x:c r="B275" s="25" t="str">
        <x:v>Bolån</x:v>
      </x:c>
      <x:c r="C275" s="25" t="str">
        <x:v>Stadshypotek AB</x:v>
      </x:c>
      <x:c r="D275" s="25" t="str">
        <x:v>02-279136</x:v>
      </x:c>
      <x:c r="E275" s="25" t="str">
        <x:v>821823</x:v>
      </x:c>
      <x:c r="F275" s="29" t="str">
        <x:v>HSB Brf Siljan i Stockholm, lgh 178</x:v>
      </x:c>
      <x:c r="G275" s="26" t="n">
        <x:v>35000</x:v>
      </x:c>
      <x:c r="H275" s="27" t="n">
        <x:v>0.056900000000000006</x:v>
      </x:c>
      <x:c r="I275" s="24" t="n">
        <x:v>45231</x:v>
      </x:c>
      <x:c r="J275" s="28" t="n">
        <x:v>30</x:v>
      </x:c>
      <x:c r="K275" s="26" t="n">
        <x:v>166</x:v>
      </x:c>
      <x:c r="L275" s="26" t="n">
        <x:v>0</x:v>
      </x:c>
      <x:c r="M275" s="26" t="n">
        <x:v>0</x:v>
      </x:c>
      <x:c r="N275" s="26" t="n">
        <x:f>SUM(K275:M275)</x:f>
        <x:v>166</x:v>
      </x:c>
      <x:c r="O275" s="25" t="str">
        <x:v>2023-12-01_02-279136.pdf</x:v>
      </x:c>
      <x:c r="P275" s="28" t="n">
        <x:v>1</x:v>
      </x:c>
      <x:c r="Q275" s="29" t="str">
        <x:v>Ingen amorteringsrad redovisas på avin.</x:v>
      </x:c>
    </x:row>
    <x:row r="276">
      <x:c r="A276" s="24" t="n">
        <x:v>45292</x:v>
      </x:c>
      <x:c r="B276" s="25" t="str">
        <x:v>Bolån</x:v>
      </x:c>
      <x:c r="C276" s="25" t="str">
        <x:v>Stadshypotek AB</x:v>
      </x:c>
      <x:c r="D276" s="25" t="str">
        <x:v>02-279136</x:v>
      </x:c>
      <x:c r="E276" s="25" t="str">
        <x:v>821823</x:v>
      </x:c>
      <x:c r="F276" s="29" t="str">
        <x:v>HSB Brf Siljan i Stockholm, lgh 178</x:v>
      </x:c>
      <x:c r="G276" s="26" t="n">
        <x:v>35000</x:v>
      </x:c>
      <x:c r="H276" s="27" t="n">
        <x:v>0.0594</x:v>
      </x:c>
      <x:c r="I276" s="24" t="n">
        <x:v>45261</x:v>
      </x:c>
      <x:c r="J276" s="28" t="n">
        <x:v>30</x:v>
      </x:c>
      <x:c r="K276" s="26" t="n">
        <x:v>173</x:v>
      </x:c>
      <x:c r="L276" s="26" t="n">
        <x:v>0</x:v>
      </x:c>
      <x:c r="M276" s="26" t="n">
        <x:v>0</x:v>
      </x:c>
      <x:c r="N276" s="26" t="n">
        <x:f>SUM(K276:M276)</x:f>
        <x:v>173</x:v>
      </x:c>
      <x:c r="O276" s="25" t="str">
        <x:v>2024-01-01_02-279136.pdf</x:v>
      </x:c>
      <x:c r="P276" s="28" t="n">
        <x:v>1</x:v>
      </x:c>
      <x:c r="Q276" s="29" t="str">
        <x:v>Ingen amorteringsrad redovisas på avin.</x:v>
      </x:c>
    </x:row>
    <x:row r="277">
      <x:c r="A277" s="24" t="n">
        <x:v>45323</x:v>
      </x:c>
      <x:c r="B277" s="25" t="str">
        <x:v>Bolån</x:v>
      </x:c>
      <x:c r="C277" s="25" t="str">
        <x:v>Stadshypotek AB</x:v>
      </x:c>
      <x:c r="D277" s="25" t="str">
        <x:v>02-279136</x:v>
      </x:c>
      <x:c r="E277" s="25" t="str">
        <x:v>821823</x:v>
      </x:c>
      <x:c r="F277" s="29" t="str">
        <x:v>HSB Brf Siljan i Stockholm, lgh 178</x:v>
      </x:c>
      <x:c r="G277" s="26" t="n">
        <x:v>35000</x:v>
      </x:c>
      <x:c r="H277" s="27" t="n">
        <x:v>0.0594</x:v>
      </x:c>
      <x:c r="I277" s="24" t="n">
        <x:v>45292</x:v>
      </x:c>
      <x:c r="J277" s="28" t="n">
        <x:v>30</x:v>
      </x:c>
      <x:c r="K277" s="26" t="n">
        <x:v>173</x:v>
      </x:c>
      <x:c r="L277" s="26" t="n">
        <x:v>0</x:v>
      </x:c>
      <x:c r="M277" s="26" t="n">
        <x:v>0</x:v>
      </x:c>
      <x:c r="N277" s="26" t="n">
        <x:f>SUM(K277:M277)</x:f>
        <x:v>173</x:v>
      </x:c>
      <x:c r="O277" s="25" t="str">
        <x:v>2024-02-01_02-279136.pdf</x:v>
      </x:c>
      <x:c r="P277" s="28" t="n">
        <x:v>1</x:v>
      </x:c>
      <x:c r="Q277" s="29" t="str">
        <x:v>Ingen amorteringsrad redovisas på avin.</x:v>
      </x:c>
    </x:row>
    <x:row r="278">
      <x:c r="A278" s="24" t="n">
        <x:v>45352</x:v>
      </x:c>
      <x:c r="B278" s="25" t="str">
        <x:v>Bolån</x:v>
      </x:c>
      <x:c r="C278" s="25" t="str">
        <x:v>Stadshypotek AB</x:v>
      </x:c>
      <x:c r="D278" s="25" t="str">
        <x:v>02-279136</x:v>
      </x:c>
      <x:c r="E278" s="25" t="str">
        <x:v>821823</x:v>
      </x:c>
      <x:c r="F278" s="29" t="str">
        <x:v>HSB Brf Siljan i Stockholm, lgh 178</x:v>
      </x:c>
      <x:c r="G278" s="26" t="n">
        <x:v>35000</x:v>
      </x:c>
      <x:c r="H278" s="27" t="n">
        <x:v>0.0594</x:v>
      </x:c>
      <x:c r="I278" s="24" t="n">
        <x:v>45323</x:v>
      </x:c>
      <x:c r="J278" s="28" t="n">
        <x:v>30</x:v>
      </x:c>
      <x:c r="K278" s="26" t="n">
        <x:v>173</x:v>
      </x:c>
      <x:c r="L278" s="26" t="n">
        <x:v>0</x:v>
      </x:c>
      <x:c r="M278" s="26" t="n">
        <x:v>0</x:v>
      </x:c>
      <x:c r="N278" s="26" t="n">
        <x:f>SUM(K278:M278)</x:f>
        <x:v>173</x:v>
      </x:c>
      <x:c r="O278" s="25" t="str">
        <x:v>2024-03-01_02-279136.pdf</x:v>
      </x:c>
      <x:c r="P278" s="28" t="n">
        <x:v>1</x:v>
      </x:c>
      <x:c r="Q278" s="29" t="str">
        <x:v>Ingen amorteringsrad redovisas på avin.</x:v>
      </x:c>
    </x:row>
    <x:row r="279">
      <x:c r="A279" s="24" t="n">
        <x:v>45383</x:v>
      </x:c>
      <x:c r="B279" s="25" t="str">
        <x:v>Bolån</x:v>
      </x:c>
      <x:c r="C279" s="25" t="str">
        <x:v>Stadshypotek AB</x:v>
      </x:c>
      <x:c r="D279" s="25" t="str">
        <x:v>02-279136</x:v>
      </x:c>
      <x:c r="E279" s="25" t="str">
        <x:v>821823</x:v>
      </x:c>
      <x:c r="F279" s="29" t="str">
        <x:v>HSB Brf Siljan i Stockholm, lgh 178</x:v>
      </x:c>
      <x:c r="G279" s="26" t="n">
        <x:v>35000</x:v>
      </x:c>
      <x:c r="H279" s="27" t="n">
        <x:v>0.0594</x:v>
      </x:c>
      <x:c r="I279" s="24" t="n">
        <x:v>45352</x:v>
      </x:c>
      <x:c r="J279" s="28" t="n">
        <x:v>30</x:v>
      </x:c>
      <x:c r="K279" s="26" t="n">
        <x:v>173</x:v>
      </x:c>
      <x:c r="L279" s="26" t="n">
        <x:v>0</x:v>
      </x:c>
      <x:c r="M279" s="26" t="n">
        <x:v>0</x:v>
      </x:c>
      <x:c r="N279" s="26" t="n">
        <x:f>SUM(K279:M279)</x:f>
        <x:v>173</x:v>
      </x:c>
      <x:c r="O279" s="25" t="str">
        <x:v>2024-04-01_02-279136.pdf</x:v>
      </x:c>
      <x:c r="P279" s="28" t="n">
        <x:v>1</x:v>
      </x:c>
      <x:c r="Q279" s="29" t="str">
        <x:v>Ingen amorteringsrad redovisas på avin.</x:v>
      </x:c>
    </x:row>
    <x:row r="280">
      <x:c r="A280" s="24" t="n">
        <x:v>45413</x:v>
      </x:c>
      <x:c r="B280" s="25" t="str">
        <x:v>Bolån</x:v>
      </x:c>
      <x:c r="C280" s="25" t="str">
        <x:v>Stadshypotek AB</x:v>
      </x:c>
      <x:c r="D280" s="25" t="str">
        <x:v>02-279136</x:v>
      </x:c>
      <x:c r="E280" s="25" t="str">
        <x:v>821823</x:v>
      </x:c>
      <x:c r="F280" s="29" t="str">
        <x:v>HSB Brf Siljan i Stockholm, lgh 178</x:v>
      </x:c>
      <x:c r="G280" s="26" t="n">
        <x:v>35000</x:v>
      </x:c>
      <x:c r="H280" s="27" t="n">
        <x:v>0.0594</x:v>
      </x:c>
      <x:c r="I280" s="24" t="n">
        <x:v>45383</x:v>
      </x:c>
      <x:c r="J280" s="28" t="n">
        <x:v>30</x:v>
      </x:c>
      <x:c r="K280" s="26" t="n">
        <x:v>173</x:v>
      </x:c>
      <x:c r="L280" s="26" t="n">
        <x:v>0</x:v>
      </x:c>
      <x:c r="M280" s="26" t="n">
        <x:v>0</x:v>
      </x:c>
      <x:c r="N280" s="26" t="n">
        <x:f>SUM(K280:M280)</x:f>
        <x:v>173</x:v>
      </x:c>
      <x:c r="O280" s="25" t="str">
        <x:v>2024-05-01_02-279136.pdf</x:v>
      </x:c>
      <x:c r="P280" s="28" t="n">
        <x:v>1</x:v>
      </x:c>
      <x:c r="Q280" s="29" t="str">
        <x:v>Ingen amorteringsrad redovisas på avin.</x:v>
      </x:c>
    </x:row>
    <x:row r="281">
      <x:c r="A281" s="24" t="n">
        <x:v>45444</x:v>
      </x:c>
      <x:c r="B281" s="25" t="str">
        <x:v>Bolån</x:v>
      </x:c>
      <x:c r="C281" s="25" t="str">
        <x:v>Stadshypotek AB</x:v>
      </x:c>
      <x:c r="D281" s="25" t="str">
        <x:v>02-279136</x:v>
      </x:c>
      <x:c r="E281" s="25" t="str">
        <x:v>821823</x:v>
      </x:c>
      <x:c r="F281" s="29" t="str">
        <x:v>HSB Brf Siljan i Stockholm, lgh 178</x:v>
      </x:c>
      <x:c r="G281" s="26" t="n">
        <x:v>35000</x:v>
      </x:c>
      <x:c r="H281" s="27" t="n">
        <x:v>0.0594</x:v>
      </x:c>
      <x:c r="I281" s="24" t="n">
        <x:v>45413</x:v>
      </x:c>
      <x:c r="J281" s="28" t="n">
        <x:v>30</x:v>
      </x:c>
      <x:c r="K281" s="26" t="n">
        <x:v>173</x:v>
      </x:c>
      <x:c r="L281" s="26" t="n">
        <x:v>0</x:v>
      </x:c>
      <x:c r="M281" s="26" t="n">
        <x:v>0</x:v>
      </x:c>
      <x:c r="N281" s="26" t="n">
        <x:f>SUM(K281:M281)</x:f>
        <x:v>173</x:v>
      </x:c>
      <x:c r="O281" s="25" t="str">
        <x:v>2024-06-01_02-279136.pdf</x:v>
      </x:c>
      <x:c r="P281" s="28" t="n">
        <x:v>1</x:v>
      </x:c>
      <x:c r="Q281" s="29" t="str">
        <x:v>Ingen amorteringsrad redovisas på avin.</x:v>
      </x:c>
    </x:row>
    <x:row r="282">
      <x:c r="A282" s="24" t="n">
        <x:v>45474</x:v>
      </x:c>
      <x:c r="B282" s="25" t="str">
        <x:v>Bolån</x:v>
      </x:c>
      <x:c r="C282" s="25" t="str">
        <x:v>Stadshypotek AB</x:v>
      </x:c>
      <x:c r="D282" s="25" t="str">
        <x:v>02-279136</x:v>
      </x:c>
      <x:c r="E282" s="25" t="str">
        <x:v>821823</x:v>
      </x:c>
      <x:c r="F282" s="29" t="str">
        <x:v>HSB Brf Siljan i Stockholm, lgh 178</x:v>
      </x:c>
      <x:c r="G282" s="26" t="n">
        <x:v>35000</x:v>
      </x:c>
      <x:c r="H282" s="27" t="n">
        <x:v>0.056900000000000006</x:v>
      </x:c>
      <x:c r="I282" s="24" t="n">
        <x:v>45444</x:v>
      </x:c>
      <x:c r="J282" s="28" t="n">
        <x:v>30</x:v>
      </x:c>
      <x:c r="K282" s="26" t="n">
        <x:v>166</x:v>
      </x:c>
      <x:c r="L282" s="26" t="n">
        <x:v>0</x:v>
      </x:c>
      <x:c r="M282" s="26" t="n">
        <x:v>0</x:v>
      </x:c>
      <x:c r="N282" s="26" t="n">
        <x:f>SUM(K282:M282)</x:f>
        <x:v>166</x:v>
      </x:c>
      <x:c r="O282" s="25" t="str">
        <x:v>2024-07-01_02-279136.pdf</x:v>
      </x:c>
      <x:c r="P282" s="28" t="n">
        <x:v>1</x:v>
      </x:c>
      <x:c r="Q282" s="29" t="str">
        <x:v>Ingen amorteringsrad redovisas på avin.</x:v>
      </x:c>
    </x:row>
    <x:row r="283">
      <x:c r="A283" s="24" t="n">
        <x:v>45505</x:v>
      </x:c>
      <x:c r="B283" s="25" t="str">
        <x:v>Bolån</x:v>
      </x:c>
      <x:c r="C283" s="25" t="str">
        <x:v>Stadshypotek AB</x:v>
      </x:c>
      <x:c r="D283" s="25" t="str">
        <x:v>02-279136</x:v>
      </x:c>
      <x:c r="E283" s="25" t="str">
        <x:v>821823</x:v>
      </x:c>
      <x:c r="F283" s="29" t="str">
        <x:v>HSB Brf Siljan i Stockholm, lgh 178</x:v>
      </x:c>
      <x:c r="G283" s="26" t="n">
        <x:v>35000</x:v>
      </x:c>
      <x:c r="H283" s="27" t="n">
        <x:v>0.056900000000000006</x:v>
      </x:c>
      <x:c r="I283" s="24" t="n">
        <x:v>45474</x:v>
      </x:c>
      <x:c r="J283" s="28" t="n">
        <x:v>30</x:v>
      </x:c>
      <x:c r="K283" s="26" t="n">
        <x:v>166</x:v>
      </x:c>
      <x:c r="L283" s="26" t="n">
        <x:v>0</x:v>
      </x:c>
      <x:c r="M283" s="26" t="n">
        <x:v>0</x:v>
      </x:c>
      <x:c r="N283" s="26" t="n">
        <x:f>SUM(K283:M283)</x:f>
        <x:v>166</x:v>
      </x:c>
      <x:c r="O283" s="25" t="str">
        <x:v>2024-08-01_02-279136.pdf</x:v>
      </x:c>
      <x:c r="P283" s="28" t="n">
        <x:v>1</x:v>
      </x:c>
      <x:c r="Q283" s="29" t="str">
        <x:v>Ingen amorteringsrad redovisas på avin.</x:v>
      </x:c>
    </x:row>
    <x:row r="284">
      <x:c r="A284" s="24" t="n">
        <x:v>45536</x:v>
      </x:c>
      <x:c r="B284" s="25" t="str">
        <x:v>Bolån</x:v>
      </x:c>
      <x:c r="C284" s="25" t="str">
        <x:v>Stadshypotek AB</x:v>
      </x:c>
      <x:c r="D284" s="25" t="str">
        <x:v>02-279136</x:v>
      </x:c>
      <x:c r="E284" s="25" t="str">
        <x:v>821823</x:v>
      </x:c>
      <x:c r="F284" s="29" t="str">
        <x:v>HSB Brf Siljan i Stockholm, lgh 178</x:v>
      </x:c>
      <x:c r="G284" s="26" t="n">
        <x:v>35000</x:v>
      </x:c>
      <x:c r="H284" s="27" t="n">
        <x:v>0.056900000000000006</x:v>
      </x:c>
      <x:c r="I284" s="24" t="n">
        <x:v>45505</x:v>
      </x:c>
      <x:c r="J284" s="28" t="n">
        <x:v>30</x:v>
      </x:c>
      <x:c r="K284" s="26" t="n">
        <x:v>166</x:v>
      </x:c>
      <x:c r="L284" s="26" t="n">
        <x:v>0</x:v>
      </x:c>
      <x:c r="M284" s="26" t="n">
        <x:v>0</x:v>
      </x:c>
      <x:c r="N284" s="26" t="n">
        <x:f>SUM(K284:M284)</x:f>
        <x:v>166</x:v>
      </x:c>
      <x:c r="O284" s="25" t="str">
        <x:v>2024-09-01_02-279136.pdf</x:v>
      </x:c>
      <x:c r="P284" s="28" t="n">
        <x:v>1</x:v>
      </x:c>
      <x:c r="Q284" s="29" t="str">
        <x:v>Ingen amorteringsrad redovisas på avin.</x:v>
      </x:c>
    </x:row>
    <x:row r="285">
      <x:c r="A285" s="24" t="n">
        <x:v>45566</x:v>
      </x:c>
      <x:c r="B285" s="25" t="str">
        <x:v>Bolån</x:v>
      </x:c>
      <x:c r="C285" s="25" t="str">
        <x:v>Stadshypotek AB</x:v>
      </x:c>
      <x:c r="D285" s="25" t="str">
        <x:v>02-279136</x:v>
      </x:c>
      <x:c r="E285" s="25" t="str">
        <x:v>821823</x:v>
      </x:c>
      <x:c r="F285" s="29" t="str">
        <x:v>HSB Brf Siljan i Stockholm, lgh 178</x:v>
      </x:c>
      <x:c r="G285" s="26" t="n">
        <x:v>35000</x:v>
      </x:c>
      <x:c r="H285" s="27" t="n">
        <x:v>0.054900000000000004</x:v>
      </x:c>
      <x:c r="I285" s="24" t="n">
        <x:v>45536</x:v>
      </x:c>
      <x:c r="J285" s="28" t="n">
        <x:v>30</x:v>
      </x:c>
      <x:c r="K285" s="26" t="n">
        <x:v>160</x:v>
      </x:c>
      <x:c r="L285" s="26" t="n">
        <x:v>0</x:v>
      </x:c>
      <x:c r="M285" s="26" t="n">
        <x:v>0</x:v>
      </x:c>
      <x:c r="N285" s="26" t="n">
        <x:f>SUM(K285:M285)</x:f>
        <x:v>160</x:v>
      </x:c>
      <x:c r="O285" s="25" t="str">
        <x:v>2024-10-01_02-279136.pdf</x:v>
      </x:c>
      <x:c r="P285" s="28" t="n">
        <x:v>1</x:v>
      </x:c>
      <x:c r="Q285" s="29" t="str">
        <x:v>Ingen amorteringsrad redovisas på avin.</x:v>
      </x:c>
    </x:row>
    <x:row r="286">
      <x:c r="A286" s="24" t="n">
        <x:v>45597</x:v>
      </x:c>
      <x:c r="B286" s="25" t="str">
        <x:v>Bolån</x:v>
      </x:c>
      <x:c r="C286" s="25" t="str">
        <x:v>Stadshypotek AB</x:v>
      </x:c>
      <x:c r="D286" s="25" t="str">
        <x:v>02-279136</x:v>
      </x:c>
      <x:c r="E286" s="25" t="str">
        <x:v>821823</x:v>
      </x:c>
      <x:c r="F286" s="29" t="str">
        <x:v>HSB Brf Siljan i Stockholm, lgh 178</x:v>
      </x:c>
      <x:c r="G286" s="26" t="n">
        <x:v>35000</x:v>
      </x:c>
      <x:c r="H286" s="27" t="n">
        <x:v>0.054900000000000004</x:v>
      </x:c>
      <x:c r="I286" s="24" t="n">
        <x:v>45566</x:v>
      </x:c>
      <x:c r="J286" s="28" t="n">
        <x:v>30</x:v>
      </x:c>
      <x:c r="K286" s="26" t="n">
        <x:v>160</x:v>
      </x:c>
      <x:c r="L286" s="26" t="n">
        <x:v>0</x:v>
      </x:c>
      <x:c r="M286" s="26" t="n">
        <x:v>0</x:v>
      </x:c>
      <x:c r="N286" s="26" t="n">
        <x:f>SUM(K286:M286)</x:f>
        <x:v>160</x:v>
      </x:c>
      <x:c r="O286" s="25" t="str">
        <x:v>2024-11-01_02-279136.pdf</x:v>
      </x:c>
      <x:c r="P286" s="28" t="n">
        <x:v>1</x:v>
      </x:c>
      <x:c r="Q286" s="29" t="str">
        <x:v>Ingen amorteringsrad redovisas på avin.</x:v>
      </x:c>
    </x:row>
    <x:row r="287">
      <x:c r="A287" s="24" t="n">
        <x:v>45627</x:v>
      </x:c>
      <x:c r="B287" s="25" t="str">
        <x:v>Bolån</x:v>
      </x:c>
      <x:c r="C287" s="25" t="str">
        <x:v>Stadshypotek AB</x:v>
      </x:c>
      <x:c r="D287" s="25" t="str">
        <x:v>02-279136</x:v>
      </x:c>
      <x:c r="E287" s="25" t="str">
        <x:v>821823</x:v>
      </x:c>
      <x:c r="F287" s="29" t="str">
        <x:v>HSB Brf Siljan i Stockholm, lgh 178</x:v>
      </x:c>
      <x:c r="G287" s="26" t="n">
        <x:v>35000</x:v>
      </x:c>
      <x:c r="H287" s="27" t="n">
        <x:v>0.054900000000000004</x:v>
      </x:c>
      <x:c r="I287" s="24" t="n">
        <x:v>45597</x:v>
      </x:c>
      <x:c r="J287" s="28" t="n">
        <x:v>30</x:v>
      </x:c>
      <x:c r="K287" s="26" t="n">
        <x:v>160</x:v>
      </x:c>
      <x:c r="L287" s="26" t="n">
        <x:v>0</x:v>
      </x:c>
      <x:c r="M287" s="26" t="n">
        <x:v>0</x:v>
      </x:c>
      <x:c r="N287" s="26" t="n">
        <x:f>SUM(K287:M287)</x:f>
        <x:v>160</x:v>
      </x:c>
      <x:c r="O287" s="25" t="str">
        <x:v>2024-12-01_02-279136.pdf</x:v>
      </x:c>
      <x:c r="P287" s="28" t="n">
        <x:v>1</x:v>
      </x:c>
      <x:c r="Q287" s="29" t="str">
        <x:v>Ingen amorteringsrad redovisas på avin.</x:v>
      </x:c>
    </x:row>
    <x:row r="288">
      <x:c r="A288" s="24" t="n">
        <x:v>45658</x:v>
      </x:c>
      <x:c r="B288" s="25" t="str">
        <x:v>Bolån</x:v>
      </x:c>
      <x:c r="C288" s="25" t="str">
        <x:v>Stadshypotek AB</x:v>
      </x:c>
      <x:c r="D288" s="25" t="str">
        <x:v>02-279136</x:v>
      </x:c>
      <x:c r="E288" s="25" t="str">
        <x:v>821823</x:v>
      </x:c>
      <x:c r="F288" s="29" t="str">
        <x:v>HSB Brf Siljan i Stockholm, lgh 178</x:v>
      </x:c>
      <x:c r="G288" s="26" t="n">
        <x:v>35000</x:v>
      </x:c>
      <x:c r="H288" s="27" t="n">
        <x:v>0.0479</x:v>
      </x:c>
      <x:c r="I288" s="24" t="n">
        <x:v>45627</x:v>
      </x:c>
      <x:c r="J288" s="28" t="n">
        <x:v>30</x:v>
      </x:c>
      <x:c r="K288" s="26" t="n">
        <x:v>140</x:v>
      </x:c>
      <x:c r="L288" s="26" t="n">
        <x:v>0</x:v>
      </x:c>
      <x:c r="M288" s="26" t="n">
        <x:v>0</x:v>
      </x:c>
      <x:c r="N288" s="26" t="n">
        <x:f>SUM(K288:M288)</x:f>
        <x:v>140</x:v>
      </x:c>
      <x:c r="O288" s="25" t="str">
        <x:v>2025-01-01_02-279136.pdf</x:v>
      </x:c>
      <x:c r="P288" s="28" t="n">
        <x:v>1</x:v>
      </x:c>
      <x:c r="Q288" s="29" t="str">
        <x:v>Ingen amorteringsrad redovisas på avin.</x:v>
      </x:c>
    </x:row>
    <x:row r="289">
      <x:c r="A289" s="24" t="n">
        <x:v>45689</x:v>
      </x:c>
      <x:c r="B289" s="25" t="str">
        <x:v>Bolån</x:v>
      </x:c>
      <x:c r="C289" s="25" t="str">
        <x:v>Stadshypotek AB</x:v>
      </x:c>
      <x:c r="D289" s="25" t="str">
        <x:v>02-279136</x:v>
      </x:c>
      <x:c r="E289" s="25" t="str">
        <x:v>821823</x:v>
      </x:c>
      <x:c r="F289" s="29" t="str">
        <x:v>HSB Brf Siljan i Stockholm, lgh 178</x:v>
      </x:c>
      <x:c r="G289" s="26" t="n">
        <x:v>35000</x:v>
      </x:c>
      <x:c r="H289" s="27" t="n">
        <x:v>0.0479</x:v>
      </x:c>
      <x:c r="I289" s="24" t="n">
        <x:v>45658</x:v>
      </x:c>
      <x:c r="J289" s="28" t="n">
        <x:v>30</x:v>
      </x:c>
      <x:c r="K289" s="26" t="n">
        <x:v>140</x:v>
      </x:c>
      <x:c r="L289" s="26" t="n">
        <x:v>0</x:v>
      </x:c>
      <x:c r="M289" s="26" t="n">
        <x:v>0</x:v>
      </x:c>
      <x:c r="N289" s="26" t="n">
        <x:f>SUM(K289:M289)</x:f>
        <x:v>140</x:v>
      </x:c>
      <x:c r="O289" s="25" t="str">
        <x:v>2025-02-01_02-279136.pdf</x:v>
      </x:c>
      <x:c r="P289" s="28" t="n">
        <x:v>1</x:v>
      </x:c>
      <x:c r="Q289" s="29" t="str">
        <x:v>Ingen amorteringsrad redovisas på avin.</x:v>
      </x:c>
    </x:row>
    <x:row r="290">
      <x:c r="A290" s="24" t="n">
        <x:v>45717</x:v>
      </x:c>
      <x:c r="B290" s="25" t="str">
        <x:v>Bolån</x:v>
      </x:c>
      <x:c r="C290" s="25" t="str">
        <x:v>Stadshypotek AB</x:v>
      </x:c>
      <x:c r="D290" s="25" t="str">
        <x:v>02-279136</x:v>
      </x:c>
      <x:c r="E290" s="25" t="str">
        <x:v>821823</x:v>
      </x:c>
      <x:c r="F290" s="29" t="str">
        <x:v>HSB Brf Siljan i Stockholm, lgh 178</x:v>
      </x:c>
      <x:c r="G290" s="26" t="n">
        <x:v>35000</x:v>
      </x:c>
      <x:c r="H290" s="27" t="n">
        <x:v>0.0479</x:v>
      </x:c>
      <x:c r="I290" s="24" t="n">
        <x:v>45689</x:v>
      </x:c>
      <x:c r="J290" s="28" t="n">
        <x:v>30</x:v>
      </x:c>
      <x:c r="K290" s="26" t="n">
        <x:v>140</x:v>
      </x:c>
      <x:c r="L290" s="26" t="n">
        <x:v>0</x:v>
      </x:c>
      <x:c r="M290" s="26" t="n">
        <x:v>0</x:v>
      </x:c>
      <x:c r="N290" s="26" t="n">
        <x:f>SUM(K290:M290)</x:f>
        <x:v>140</x:v>
      </x:c>
      <x:c r="O290" s="25" t="str">
        <x:v>2025-03-01_02-279136.pdf</x:v>
      </x:c>
      <x:c r="P290" s="28" t="n">
        <x:v>1</x:v>
      </x:c>
      <x:c r="Q290" s="29" t="str">
        <x:v>Ingen amorteringsrad redovisas på avin.</x:v>
      </x:c>
    </x:row>
    <x:row r="291">
      <x:c r="A291" s="24" t="n">
        <x:v>42491</x:v>
      </x:c>
      <x:c r="B291" s="25" t="str">
        <x:v>Bolån</x:v>
      </x:c>
      <x:c r="C291" s="25" t="str">
        <x:v>Stadshypotek AB</x:v>
      </x:c>
      <x:c r="D291" s="25" t="str">
        <x:v>02-279136</x:v>
      </x:c>
      <x:c r="E291" s="25" t="str">
        <x:v>821824</x:v>
      </x:c>
      <x:c r="F291" s="29" t="str">
        <x:v>HSB Brf Siljan i Stockholm, lgh 178</x:v>
      </x:c>
      <x:c r="G291" s="26" t="n">
        <x:v>160000</x:v>
      </x:c>
      <x:c r="H291" s="27" t="n">
        <x:v>0.0202</x:v>
      </x:c>
      <x:c r="I291" s="24" t="n">
        <x:v>42461</x:v>
      </x:c>
      <x:c r="J291" s="28" t="n">
        <x:v>30</x:v>
      </x:c>
      <x:c r="K291" s="26" t="n">
        <x:v>269</x:v>
      </x:c>
      <x:c r="L291" s="26" t="n">
        <x:v>0</x:v>
      </x:c>
      <x:c r="M291" s="26" t="n">
        <x:v>0</x:v>
      </x:c>
      <x:c r="N291" s="26" t="n">
        <x:f>SUM(K291:M291)</x:f>
        <x:v>269</x:v>
      </x:c>
      <x:c r="O291" s="25" t="str">
        <x:v>2016-05-01_02-279136.pdf</x:v>
      </x:c>
      <x:c r="P291" s="28" t="n">
        <x:v>1</x:v>
      </x:c>
      <x:c r="Q291" s="29" t="str">
        <x:v>Ingen amorteringsrad redovisas på avin.</x:v>
      </x:c>
    </x:row>
    <x:row r="292">
      <x:c r="A292" s="24" t="n">
        <x:v>42522</x:v>
      </x:c>
      <x:c r="B292" s="25" t="str">
        <x:v>Bolån</x:v>
      </x:c>
      <x:c r="C292" s="25" t="str">
        <x:v>Stadshypotek AB</x:v>
      </x:c>
      <x:c r="D292" s="25" t="str">
        <x:v>02-279136</x:v>
      </x:c>
      <x:c r="E292" s="25" t="str">
        <x:v>821824</x:v>
      </x:c>
      <x:c r="F292" s="29" t="str">
        <x:v>HSB Brf Siljan i Stockholm, lgh 178</x:v>
      </x:c>
      <x:c r="G292" s="26" t="n">
        <x:v>160000</x:v>
      </x:c>
      <x:c r="H292" s="27" t="n">
        <x:v>0.0202</x:v>
      </x:c>
      <x:c r="I292" s="24" t="n">
        <x:v>42491</x:v>
      </x:c>
      <x:c r="J292" s="28" t="n">
        <x:v>30</x:v>
      </x:c>
      <x:c r="K292" s="26" t="n">
        <x:v>269</x:v>
      </x:c>
      <x:c r="L292" s="26" t="n">
        <x:v>0</x:v>
      </x:c>
      <x:c r="M292" s="26" t="n">
        <x:v>0</x:v>
      </x:c>
      <x:c r="N292" s="26" t="n">
        <x:f>SUM(K292:M292)</x:f>
        <x:v>269</x:v>
      </x:c>
      <x:c r="O292" s="25" t="str">
        <x:v>2016-06-01_02-279136.pdf</x:v>
      </x:c>
      <x:c r="P292" s="28" t="n">
        <x:v>1</x:v>
      </x:c>
      <x:c r="Q292" s="29" t="str">
        <x:v>Ingen amorteringsrad redovisas på avin.</x:v>
      </x:c>
    </x:row>
    <x:row r="293">
      <x:c r="A293" s="24" t="n">
        <x:v>42552</x:v>
      </x:c>
      <x:c r="B293" s="25" t="str">
        <x:v>Bolån</x:v>
      </x:c>
      <x:c r="C293" s="25" t="str">
        <x:v>Stadshypotek AB</x:v>
      </x:c>
      <x:c r="D293" s="25" t="str">
        <x:v>02-279136</x:v>
      </x:c>
      <x:c r="E293" s="25" t="str">
        <x:v>821824</x:v>
      </x:c>
      <x:c r="F293" s="29" t="str">
        <x:v>HSB Brf Siljan i Stockholm, lgh 178</x:v>
      </x:c>
      <x:c r="G293" s="26" t="n">
        <x:v>160000</x:v>
      </x:c>
      <x:c r="H293" s="27" t="n">
        <x:v>0.020499999999999997</x:v>
      </x:c>
      <x:c r="I293" s="24" t="n">
        <x:v>42522</x:v>
      </x:c>
      <x:c r="J293" s="28" t="n">
        <x:v>30</x:v>
      </x:c>
      <x:c r="K293" s="26" t="n">
        <x:v>273</x:v>
      </x:c>
      <x:c r="L293" s="26" t="n">
        <x:v>0</x:v>
      </x:c>
      <x:c r="M293" s="26" t="n">
        <x:v>0</x:v>
      </x:c>
      <x:c r="N293" s="26" t="n">
        <x:f>SUM(K293:M293)</x:f>
        <x:v>273</x:v>
      </x:c>
      <x:c r="O293" s="25" t="str">
        <x:v>2016-07-01_02-279136.pdf</x:v>
      </x:c>
      <x:c r="P293" s="28" t="n">
        <x:v>1</x:v>
      </x:c>
      <x:c r="Q293" s="29" t="str">
        <x:v>Ingen amorteringsrad redovisas på avin.</x:v>
      </x:c>
    </x:row>
    <x:row r="294">
      <x:c r="A294" s="24" t="n">
        <x:v>42583</x:v>
      </x:c>
      <x:c r="B294" s="25" t="str">
        <x:v>Bolån</x:v>
      </x:c>
      <x:c r="C294" s="25" t="str">
        <x:v>Stadshypotek AB</x:v>
      </x:c>
      <x:c r="D294" s="25" t="str">
        <x:v>02-279136</x:v>
      </x:c>
      <x:c r="E294" s="25" t="str">
        <x:v>821824</x:v>
      </x:c>
      <x:c r="F294" s="29" t="str">
        <x:v>HSB Brf Siljan i Stockholm, lgh 178</x:v>
      </x:c>
      <x:c r="G294" s="26" t="n">
        <x:v>160000</x:v>
      </x:c>
      <x:c r="H294" s="27" t="n">
        <x:v>0.020499999999999997</x:v>
      </x:c>
      <x:c r="I294" s="24" t="n">
        <x:v>42552</x:v>
      </x:c>
      <x:c r="J294" s="28" t="n">
        <x:v>30</x:v>
      </x:c>
      <x:c r="K294" s="26" t="n">
        <x:v>273</x:v>
      </x:c>
      <x:c r="L294" s="26" t="n">
        <x:v>0</x:v>
      </x:c>
      <x:c r="M294" s="26" t="n">
        <x:v>0</x:v>
      </x:c>
      <x:c r="N294" s="26" t="n">
        <x:f>SUM(K294:M294)</x:f>
        <x:v>273</x:v>
      </x:c>
      <x:c r="O294" s="25" t="str">
        <x:v>2016-08-01_02-279136.pdf</x:v>
      </x:c>
      <x:c r="P294" s="28" t="n">
        <x:v>1</x:v>
      </x:c>
      <x:c r="Q294" s="29" t="str">
        <x:v>Ingen amorteringsrad redovisas på avin.</x:v>
      </x:c>
    </x:row>
    <x:row r="295">
      <x:c r="A295" s="24" t="n">
        <x:v>42614</x:v>
      </x:c>
      <x:c r="B295" s="25" t="str">
        <x:v>Bolån</x:v>
      </x:c>
      <x:c r="C295" s="25" t="str">
        <x:v>Stadshypotek AB</x:v>
      </x:c>
      <x:c r="D295" s="25" t="str">
        <x:v>02-279136</x:v>
      </x:c>
      <x:c r="E295" s="25" t="str">
        <x:v>821824</x:v>
      </x:c>
      <x:c r="F295" s="29" t="str">
        <x:v>HSB Brf Siljan i Stockholm, lgh 178</x:v>
      </x:c>
      <x:c r="G295" s="26" t="n">
        <x:v>160000</x:v>
      </x:c>
      <x:c r="H295" s="27" t="n">
        <x:v>0.020499999999999997</x:v>
      </x:c>
      <x:c r="I295" s="24" t="n">
        <x:v>42583</x:v>
      </x:c>
      <x:c r="J295" s="28" t="n">
        <x:v>30</x:v>
      </x:c>
      <x:c r="K295" s="26" t="n">
        <x:v>273</x:v>
      </x:c>
      <x:c r="L295" s="26" t="n">
        <x:v>0</x:v>
      </x:c>
      <x:c r="M295" s="26" t="n">
        <x:v>0</x:v>
      </x:c>
      <x:c r="N295" s="26" t="n">
        <x:f>SUM(K295:M295)</x:f>
        <x:v>273</x:v>
      </x:c>
      <x:c r="O295" s="25" t="str">
        <x:v>2016-09-01_02-279136.pdf</x:v>
      </x:c>
      <x:c r="P295" s="28" t="n">
        <x:v>1</x:v>
      </x:c>
      <x:c r="Q295" s="29" t="str">
        <x:v>Ingen amorteringsrad redovisas på avin.</x:v>
      </x:c>
    </x:row>
    <x:row r="296">
      <x:c r="A296" s="24" t="n">
        <x:v>42644</x:v>
      </x:c>
      <x:c r="B296" s="25" t="str">
        <x:v>Bolån</x:v>
      </x:c>
      <x:c r="C296" s="25" t="str">
        <x:v>Stadshypotek AB</x:v>
      </x:c>
      <x:c r="D296" s="25" t="str">
        <x:v>02-279136</x:v>
      </x:c>
      <x:c r="E296" s="25" t="str">
        <x:v>821824</x:v>
      </x:c>
      <x:c r="F296" s="29" t="str">
        <x:v>HSB Brf Siljan i Stockholm, lgh 178</x:v>
      </x:c>
      <x:c r="G296" s="26" t="n">
        <x:v>160000</x:v>
      </x:c>
      <x:c r="H296" s="27" t="n">
        <x:v>0.020499999999999997</x:v>
      </x:c>
      <x:c r="I296" s="24" t="n">
        <x:v>42614</x:v>
      </x:c>
      <x:c r="J296" s="28" t="n">
        <x:v>30</x:v>
      </x:c>
      <x:c r="K296" s="26" t="n">
        <x:v>273</x:v>
      </x:c>
      <x:c r="L296" s="26" t="n">
        <x:v>0</x:v>
      </x:c>
      <x:c r="M296" s="26" t="n">
        <x:v>0</x:v>
      </x:c>
      <x:c r="N296" s="26" t="n">
        <x:f>SUM(K296:M296)</x:f>
        <x:v>273</x:v>
      </x:c>
      <x:c r="O296" s="25" t="str">
        <x:v>2016-10-01_02-279136.pdf</x:v>
      </x:c>
      <x:c r="P296" s="28" t="n">
        <x:v>1</x:v>
      </x:c>
      <x:c r="Q296" s="29" t="str">
        <x:v>Ingen amorteringsrad redovisas på avin.</x:v>
      </x:c>
    </x:row>
    <x:row r="297">
      <x:c r="A297" s="24" t="n">
        <x:v>42675</x:v>
      </x:c>
      <x:c r="B297" s="25" t="str">
        <x:v>Bolån</x:v>
      </x:c>
      <x:c r="C297" s="25" t="str">
        <x:v>Stadshypotek AB</x:v>
      </x:c>
      <x:c r="D297" s="25" t="str">
        <x:v>02-279136</x:v>
      </x:c>
      <x:c r="E297" s="25" t="str">
        <x:v>821824</x:v>
      </x:c>
      <x:c r="F297" s="29" t="str">
        <x:v>HSB Brf Siljan i Stockholm, lgh 178</x:v>
      </x:c>
      <x:c r="G297" s="26" t="n">
        <x:v>160000</x:v>
      </x:c>
      <x:c r="H297" s="27" t="n">
        <x:v>0.020499999999999997</x:v>
      </x:c>
      <x:c r="I297" s="24" t="n">
        <x:v>42644</x:v>
      </x:c>
      <x:c r="J297" s="28" t="n">
        <x:v>30</x:v>
      </x:c>
      <x:c r="K297" s="26" t="n">
        <x:v>273</x:v>
      </x:c>
      <x:c r="L297" s="26" t="n">
        <x:v>0</x:v>
      </x:c>
      <x:c r="M297" s="26" t="n">
        <x:v>0</x:v>
      </x:c>
      <x:c r="N297" s="26" t="n">
        <x:f>SUM(K297:M297)</x:f>
        <x:v>273</x:v>
      </x:c>
      <x:c r="O297" s="25" t="str">
        <x:v>2016-11-01_02-279136.pdf</x:v>
      </x:c>
      <x:c r="P297" s="28" t="n">
        <x:v>1</x:v>
      </x:c>
      <x:c r="Q297" s="29" t="str">
        <x:v>Ingen amorteringsrad redovisas på avin.</x:v>
      </x:c>
    </x:row>
    <x:row r="298">
      <x:c r="A298" s="24" t="n">
        <x:v>42705</x:v>
      </x:c>
      <x:c r="B298" s="25" t="str">
        <x:v>Bolån</x:v>
      </x:c>
      <x:c r="C298" s="25" t="str">
        <x:v>Stadshypotek AB</x:v>
      </x:c>
      <x:c r="D298" s="25" t="str">
        <x:v>02-279136</x:v>
      </x:c>
      <x:c r="E298" s="25" t="str">
        <x:v>821824</x:v>
      </x:c>
      <x:c r="F298" s="29" t="str">
        <x:v>HSB Brf Siljan i Stockholm, lgh 178</x:v>
      </x:c>
      <x:c r="G298" s="26" t="n">
        <x:v>160000</x:v>
      </x:c>
      <x:c r="H298" s="27" t="n">
        <x:v>0.020499999999999997</x:v>
      </x:c>
      <x:c r="I298" s="24" t="n">
        <x:v>42675</x:v>
      </x:c>
      <x:c r="J298" s="28" t="n">
        <x:v>30</x:v>
      </x:c>
      <x:c r="K298" s="26" t="n">
        <x:v>273</x:v>
      </x:c>
      <x:c r="L298" s="26" t="n">
        <x:v>0</x:v>
      </x:c>
      <x:c r="M298" s="26" t="n">
        <x:v>0</x:v>
      </x:c>
      <x:c r="N298" s="26" t="n">
        <x:f>SUM(K298:M298)</x:f>
        <x:v>273</x:v>
      </x:c>
      <x:c r="O298" s="25" t="str">
        <x:v>2016-12-01_02-279136.pdf</x:v>
      </x:c>
      <x:c r="P298" s="28" t="n">
        <x:v>1</x:v>
      </x:c>
      <x:c r="Q298" s="29" t="str">
        <x:v>Ingen amorteringsrad redovisas på avin.</x:v>
      </x:c>
    </x:row>
    <x:row r="299">
      <x:c r="A299" s="24" t="n">
        <x:v>42736</x:v>
      </x:c>
      <x:c r="B299" s="25" t="str">
        <x:v>Bolån</x:v>
      </x:c>
      <x:c r="C299" s="25" t="str">
        <x:v>Stadshypotek AB</x:v>
      </x:c>
      <x:c r="D299" s="25" t="str">
        <x:v>02-279136</x:v>
      </x:c>
      <x:c r="E299" s="25" t="str">
        <x:v>821824</x:v>
      </x:c>
      <x:c r="F299" s="29" t="str">
        <x:v>HSB Brf Siljan i Stockholm, lgh 178</x:v>
      </x:c>
      <x:c r="G299" s="26" t="n">
        <x:v>160000</x:v>
      </x:c>
      <x:c r="H299" s="27" t="n">
        <x:v>0.020499999999999997</x:v>
      </x:c>
      <x:c r="I299" s="24" t="n">
        <x:v>42705</x:v>
      </x:c>
      <x:c r="J299" s="28" t="n">
        <x:v>30</x:v>
      </x:c>
      <x:c r="K299" s="26" t="n">
        <x:v>273</x:v>
      </x:c>
      <x:c r="L299" s="26" t="n">
        <x:v>0</x:v>
      </x:c>
      <x:c r="M299" s="26" t="n">
        <x:v>0</x:v>
      </x:c>
      <x:c r="N299" s="26" t="n">
        <x:f>SUM(K299:M299)</x:f>
        <x:v>273</x:v>
      </x:c>
      <x:c r="O299" s="25" t="str">
        <x:v>2017-01-01_02-279136.pdf</x:v>
      </x:c>
      <x:c r="P299" s="28" t="n">
        <x:v>1</x:v>
      </x:c>
      <x:c r="Q299" s="29" t="str">
        <x:v>Ingen amorteringsrad redovisas på avin.</x:v>
      </x:c>
    </x:row>
    <x:row r="300">
      <x:c r="A300" s="24" t="n">
        <x:v>42767</x:v>
      </x:c>
      <x:c r="B300" s="25" t="str">
        <x:v>Bolån</x:v>
      </x:c>
      <x:c r="C300" s="25" t="str">
        <x:v>Stadshypotek AB</x:v>
      </x:c>
      <x:c r="D300" s="25" t="str">
        <x:v>02-279136</x:v>
      </x:c>
      <x:c r="E300" s="25" t="str">
        <x:v>821824</x:v>
      </x:c>
      <x:c r="F300" s="29" t="str">
        <x:v>HSB Brf Siljan i Stockholm, lgh 178</x:v>
      </x:c>
      <x:c r="G300" s="26" t="n">
        <x:v>160000</x:v>
      </x:c>
      <x:c r="H300" s="27" t="n">
        <x:v>0.020499999999999997</x:v>
      </x:c>
      <x:c r="I300" s="24" t="n">
        <x:v>42736</x:v>
      </x:c>
      <x:c r="J300" s="28" t="n">
        <x:v>30</x:v>
      </x:c>
      <x:c r="K300" s="26" t="n">
        <x:v>273</x:v>
      </x:c>
      <x:c r="L300" s="26" t="n">
        <x:v>0</x:v>
      </x:c>
      <x:c r="M300" s="26" t="n">
        <x:v>0</x:v>
      </x:c>
      <x:c r="N300" s="26" t="n">
        <x:f>SUM(K300:M300)</x:f>
        <x:v>273</x:v>
      </x:c>
      <x:c r="O300" s="25" t="str">
        <x:v>2017-02-01_02-279136.pdf</x:v>
      </x:c>
      <x:c r="P300" s="28" t="n">
        <x:v>1</x:v>
      </x:c>
      <x:c r="Q300" s="29" t="str">
        <x:v>Ingen amorteringsrad redovisas på avin.</x:v>
      </x:c>
    </x:row>
    <x:row r="301">
      <x:c r="A301" s="24" t="n">
        <x:v>42795</x:v>
      </x:c>
      <x:c r="B301" s="25" t="str">
        <x:v>Bolån</x:v>
      </x:c>
      <x:c r="C301" s="25" t="str">
        <x:v>Stadshypotek AB</x:v>
      </x:c>
      <x:c r="D301" s="25" t="str">
        <x:v>02-279136</x:v>
      </x:c>
      <x:c r="E301" s="25" t="str">
        <x:v>821824</x:v>
      </x:c>
      <x:c r="F301" s="29" t="str">
        <x:v>HSB Brf Siljan i Stockholm, lgh 178</x:v>
      </x:c>
      <x:c r="G301" s="26" t="n">
        <x:v>160000</x:v>
      </x:c>
      <x:c r="H301" s="27" t="n">
        <x:v>0.020499999999999997</x:v>
      </x:c>
      <x:c r="I301" s="24" t="n">
        <x:v>42767</x:v>
      </x:c>
      <x:c r="J301" s="28" t="n">
        <x:v>30</x:v>
      </x:c>
      <x:c r="K301" s="26" t="n">
        <x:v>273</x:v>
      </x:c>
      <x:c r="L301" s="26" t="n">
        <x:v>0</x:v>
      </x:c>
      <x:c r="M301" s="26" t="n">
        <x:v>0</x:v>
      </x:c>
      <x:c r="N301" s="26" t="n">
        <x:f>SUM(K301:M301)</x:f>
        <x:v>273</x:v>
      </x:c>
      <x:c r="O301" s="25" t="str">
        <x:v>2017-03-01_02-279136.pdf</x:v>
      </x:c>
      <x:c r="P301" s="28" t="n">
        <x:v>1</x:v>
      </x:c>
      <x:c r="Q301" s="29" t="str">
        <x:v>Ingen amorteringsrad redovisas på avin.</x:v>
      </x:c>
    </x:row>
    <x:row r="302">
      <x:c r="A302" s="24" t="n">
        <x:v>42826</x:v>
      </x:c>
      <x:c r="B302" s="25" t="str">
        <x:v>Bolån</x:v>
      </x:c>
      <x:c r="C302" s="25" t="str">
        <x:v>Stadshypotek AB</x:v>
      </x:c>
      <x:c r="D302" s="25" t="str">
        <x:v>02-279136</x:v>
      </x:c>
      <x:c r="E302" s="25" t="str">
        <x:v>821824</x:v>
      </x:c>
      <x:c r="F302" s="29" t="str">
        <x:v>HSB Brf Siljan i Stockholm, lgh 178</x:v>
      </x:c>
      <x:c r="G302" s="26" t="n">
        <x:v>160000</x:v>
      </x:c>
      <x:c r="H302" s="27" t="n">
        <x:v>0.020499999999999997</x:v>
      </x:c>
      <x:c r="I302" s="24" t="n">
        <x:v>42795</x:v>
      </x:c>
      <x:c r="J302" s="28" t="n">
        <x:v>30</x:v>
      </x:c>
      <x:c r="K302" s="26" t="n">
        <x:v>273</x:v>
      </x:c>
      <x:c r="L302" s="26" t="n">
        <x:v>0</x:v>
      </x:c>
      <x:c r="M302" s="26" t="n">
        <x:v>0</x:v>
      </x:c>
      <x:c r="N302" s="26" t="n">
        <x:f>SUM(K302:M302)</x:f>
        <x:v>273</x:v>
      </x:c>
      <x:c r="O302" s="25" t="str">
        <x:v>2017-04-01_02-279136.pdf</x:v>
      </x:c>
      <x:c r="P302" s="28" t="n">
        <x:v>1</x:v>
      </x:c>
      <x:c r="Q302" s="29" t="str">
        <x:v>Ingen amorteringsrad redovisas på avin.</x:v>
      </x:c>
    </x:row>
    <x:row r="303">
      <x:c r="A303" s="24" t="n">
        <x:v>42856</x:v>
      </x:c>
      <x:c r="B303" s="25" t="str">
        <x:v>Bolån</x:v>
      </x:c>
      <x:c r="C303" s="25" t="str">
        <x:v>Stadshypotek AB</x:v>
      </x:c>
      <x:c r="D303" s="25" t="str">
        <x:v>02-279136</x:v>
      </x:c>
      <x:c r="E303" s="25" t="str">
        <x:v>821824</x:v>
      </x:c>
      <x:c r="F303" s="29" t="str">
        <x:v>HSB Brf Siljan i Stockholm, lgh 178</x:v>
      </x:c>
      <x:c r="G303" s="26" t="n">
        <x:v>160000</x:v>
      </x:c>
      <x:c r="H303" s="27" t="n">
        <x:v>0.020499999999999997</x:v>
      </x:c>
      <x:c r="I303" s="24" t="n">
        <x:v>42826</x:v>
      </x:c>
      <x:c r="J303" s="28" t="n">
        <x:v>30</x:v>
      </x:c>
      <x:c r="K303" s="26" t="n">
        <x:v>273</x:v>
      </x:c>
      <x:c r="L303" s="26" t="n">
        <x:v>0</x:v>
      </x:c>
      <x:c r="M303" s="26" t="n">
        <x:v>0</x:v>
      </x:c>
      <x:c r="N303" s="26" t="n">
        <x:f>SUM(K303:M303)</x:f>
        <x:v>273</x:v>
      </x:c>
      <x:c r="O303" s="25" t="str">
        <x:v>2017-05-01_02-279136.pdf</x:v>
      </x:c>
      <x:c r="P303" s="28" t="n">
        <x:v>1</x:v>
      </x:c>
      <x:c r="Q303" s="29" t="str">
        <x:v>Ingen amorteringsrad redovisas på avin.</x:v>
      </x:c>
    </x:row>
    <x:row r="304">
      <x:c r="A304" s="24" t="n">
        <x:v>42887</x:v>
      </x:c>
      <x:c r="B304" s="25" t="str">
        <x:v>Bolån</x:v>
      </x:c>
      <x:c r="C304" s="25" t="str">
        <x:v>Stadshypotek AB</x:v>
      </x:c>
      <x:c r="D304" s="25" t="str">
        <x:v>02-279136</x:v>
      </x:c>
      <x:c r="E304" s="25" t="str">
        <x:v>821824</x:v>
      </x:c>
      <x:c r="F304" s="29" t="str">
        <x:v>HSB Brf Siljan i Stockholm, lgh 178</x:v>
      </x:c>
      <x:c r="G304" s="26" t="n">
        <x:v>160000</x:v>
      </x:c>
      <x:c r="H304" s="27" t="n">
        <x:v>0.020499999999999997</x:v>
      </x:c>
      <x:c r="I304" s="24" t="n">
        <x:v>42856</x:v>
      </x:c>
      <x:c r="J304" s="28" t="n">
        <x:v>30</x:v>
      </x:c>
      <x:c r="K304" s="26" t="n">
        <x:v>273</x:v>
      </x:c>
      <x:c r="L304" s="26" t="n">
        <x:v>0</x:v>
      </x:c>
      <x:c r="M304" s="26" t="n">
        <x:v>0</x:v>
      </x:c>
      <x:c r="N304" s="26" t="n">
        <x:f>SUM(K304:M304)</x:f>
        <x:v>273</x:v>
      </x:c>
      <x:c r="O304" s="25" t="str">
        <x:v>2017-06-01_02-279136.pdf</x:v>
      </x:c>
      <x:c r="P304" s="28" t="n">
        <x:v>1</x:v>
      </x:c>
      <x:c r="Q304" s="29" t="str">
        <x:v>Ingen amorteringsrad redovisas på avin.</x:v>
      </x:c>
    </x:row>
    <x:row r="305">
      <x:c r="A305" s="24" t="n">
        <x:v>42917</x:v>
      </x:c>
      <x:c r="B305" s="25" t="str">
        <x:v>Bolån</x:v>
      </x:c>
      <x:c r="C305" s="25" t="str">
        <x:v>Stadshypotek AB</x:v>
      </x:c>
      <x:c r="D305" s="25" t="str">
        <x:v>02-279136</x:v>
      </x:c>
      <x:c r="E305" s="25" t="str">
        <x:v>821824</x:v>
      </x:c>
      <x:c r="F305" s="29" t="str">
        <x:v>HSB Brf Siljan i Stockholm, lgh 178</x:v>
      </x:c>
      <x:c r="G305" s="26" t="n">
        <x:v>160000</x:v>
      </x:c>
      <x:c r="H305" s="27" t="n">
        <x:v>0.020499999999999997</x:v>
      </x:c>
      <x:c r="I305" s="24" t="n">
        <x:v>42887</x:v>
      </x:c>
      <x:c r="J305" s="28" t="n">
        <x:v>30</x:v>
      </x:c>
      <x:c r="K305" s="26" t="n">
        <x:v>273</x:v>
      </x:c>
      <x:c r="L305" s="26" t="n">
        <x:v>0</x:v>
      </x:c>
      <x:c r="M305" s="26" t="n">
        <x:v>0</x:v>
      </x:c>
      <x:c r="N305" s="26" t="n">
        <x:f>SUM(K305:M305)</x:f>
        <x:v>273</x:v>
      </x:c>
      <x:c r="O305" s="25" t="str">
        <x:v>2017-07-01_02-279136.pdf</x:v>
      </x:c>
      <x:c r="P305" s="28" t="n">
        <x:v>1</x:v>
      </x:c>
      <x:c r="Q305" s="29" t="str">
        <x:v>Ingen amorteringsrad redovisas på avin.</x:v>
      </x:c>
    </x:row>
    <x:row r="306">
      <x:c r="A306" s="24" t="n">
        <x:v>42948</x:v>
      </x:c>
      <x:c r="B306" s="25" t="str">
        <x:v>Bolån</x:v>
      </x:c>
      <x:c r="C306" s="25" t="str">
        <x:v>Stadshypotek AB</x:v>
      </x:c>
      <x:c r="D306" s="25" t="str">
        <x:v>02-279136</x:v>
      </x:c>
      <x:c r="E306" s="25" t="str">
        <x:v>821824</x:v>
      </x:c>
      <x:c r="F306" s="29" t="str">
        <x:v>HSB Brf Siljan i Stockholm, lgh 178</x:v>
      </x:c>
      <x:c r="G306" s="26" t="n">
        <x:v>160000</x:v>
      </x:c>
      <x:c r="H306" s="27" t="n">
        <x:v>0.020499999999999997</x:v>
      </x:c>
      <x:c r="I306" s="24" t="n">
        <x:v>42917</x:v>
      </x:c>
      <x:c r="J306" s="28" t="n">
        <x:v>30</x:v>
      </x:c>
      <x:c r="K306" s="26" t="n">
        <x:v>273</x:v>
      </x:c>
      <x:c r="L306" s="26" t="n">
        <x:v>0</x:v>
      </x:c>
      <x:c r="M306" s="26" t="n">
        <x:v>0</x:v>
      </x:c>
      <x:c r="N306" s="26" t="n">
        <x:f>SUM(K306:M306)</x:f>
        <x:v>273</x:v>
      </x:c>
      <x:c r="O306" s="25" t="str">
        <x:v>2017-08-01_02-279136.pdf</x:v>
      </x:c>
      <x:c r="P306" s="28" t="n">
        <x:v>1</x:v>
      </x:c>
      <x:c r="Q306" s="29" t="str">
        <x:v>Ingen amorteringsrad redovisas på avin.</x:v>
      </x:c>
    </x:row>
    <x:row r="307">
      <x:c r="A307" s="24" t="n">
        <x:v>42979</x:v>
      </x:c>
      <x:c r="B307" s="25" t="str">
        <x:v>Bolån</x:v>
      </x:c>
      <x:c r="C307" s="25" t="str">
        <x:v>Stadshypotek AB</x:v>
      </x:c>
      <x:c r="D307" s="25" t="str">
        <x:v>02-279136</x:v>
      </x:c>
      <x:c r="E307" s="25" t="str">
        <x:v>821824</x:v>
      </x:c>
      <x:c r="F307" s="29" t="str">
        <x:v>HSB Brf Siljan i Stockholm, lgh 178</x:v>
      </x:c>
      <x:c r="G307" s="26" t="n">
        <x:v>160000</x:v>
      </x:c>
      <x:c r="H307" s="27" t="n">
        <x:v>0.020499999999999997</x:v>
      </x:c>
      <x:c r="I307" s="24" t="n">
        <x:v>42948</x:v>
      </x:c>
      <x:c r="J307" s="28" t="n">
        <x:v>30</x:v>
      </x:c>
      <x:c r="K307" s="26" t="n">
        <x:v>273</x:v>
      </x:c>
      <x:c r="L307" s="26" t="n">
        <x:v>0</x:v>
      </x:c>
      <x:c r="M307" s="26" t="n">
        <x:v>0</x:v>
      </x:c>
      <x:c r="N307" s="26" t="n">
        <x:f>SUM(K307:M307)</x:f>
        <x:v>273</x:v>
      </x:c>
      <x:c r="O307" s="25" t="str">
        <x:v>2017-09-01_02-279136.pdf</x:v>
      </x:c>
      <x:c r="P307" s="28" t="n">
        <x:v>1</x:v>
      </x:c>
      <x:c r="Q307" s="29" t="str">
        <x:v>Ingen amorteringsrad redovisas på avin.</x:v>
      </x:c>
    </x:row>
    <x:row r="308">
      <x:c r="A308" s="24" t="n">
        <x:v>43009</x:v>
      </x:c>
      <x:c r="B308" s="25" t="str">
        <x:v>Bolån</x:v>
      </x:c>
      <x:c r="C308" s="25" t="str">
        <x:v>Stadshypotek AB</x:v>
      </x:c>
      <x:c r="D308" s="25" t="str">
        <x:v>02-279136</x:v>
      </x:c>
      <x:c r="E308" s="25" t="str">
        <x:v>821824</x:v>
      </x:c>
      <x:c r="F308" s="29" t="str">
        <x:v>HSB Brf Siljan i Stockholm, lgh 178</x:v>
      </x:c>
      <x:c r="G308" s="26" t="n">
        <x:v>160000</x:v>
      </x:c>
      <x:c r="H308" s="27" t="n">
        <x:v>0.020499999999999997</x:v>
      </x:c>
      <x:c r="I308" s="24" t="n">
        <x:v>42979</x:v>
      </x:c>
      <x:c r="J308" s="28" t="n">
        <x:v>30</x:v>
      </x:c>
      <x:c r="K308" s="26" t="n">
        <x:v>273</x:v>
      </x:c>
      <x:c r="L308" s="26" t="n">
        <x:v>0</x:v>
      </x:c>
      <x:c r="M308" s="26" t="n">
        <x:v>0</x:v>
      </x:c>
      <x:c r="N308" s="26" t="n">
        <x:f>SUM(K308:M308)</x:f>
        <x:v>273</x:v>
      </x:c>
      <x:c r="O308" s="25" t="str">
        <x:v>2017-10-01_02-279136.pdf</x:v>
      </x:c>
      <x:c r="P308" s="28" t="n">
        <x:v>1</x:v>
      </x:c>
      <x:c r="Q308" s="29" t="str">
        <x:v>Ingen amorteringsrad redovisas på avin.</x:v>
      </x:c>
    </x:row>
    <x:row r="309">
      <x:c r="A309" s="24" t="n">
        <x:v>43040</x:v>
      </x:c>
      <x:c r="B309" s="25" t="str">
        <x:v>Bolån</x:v>
      </x:c>
      <x:c r="C309" s="25" t="str">
        <x:v>Stadshypotek AB</x:v>
      </x:c>
      <x:c r="D309" s="25" t="str">
        <x:v>02-279136</x:v>
      </x:c>
      <x:c r="E309" s="25" t="str">
        <x:v>821824</x:v>
      </x:c>
      <x:c r="F309" s="29" t="str">
        <x:v>HSB Brf Siljan i Stockholm, lgh 178</x:v>
      </x:c>
      <x:c r="G309" s="26" t="n">
        <x:v>160000</x:v>
      </x:c>
      <x:c r="H309" s="27" t="n">
        <x:v>0.020499999999999997</x:v>
      </x:c>
      <x:c r="I309" s="24" t="n">
        <x:v>43009</x:v>
      </x:c>
      <x:c r="J309" s="28" t="n">
        <x:v>30</x:v>
      </x:c>
      <x:c r="K309" s="26" t="n">
        <x:v>273</x:v>
      </x:c>
      <x:c r="L309" s="26" t="n">
        <x:v>0</x:v>
      </x:c>
      <x:c r="M309" s="26" t="n">
        <x:v>0</x:v>
      </x:c>
      <x:c r="N309" s="26" t="n">
        <x:f>SUM(K309:M309)</x:f>
        <x:v>273</x:v>
      </x:c>
      <x:c r="O309" s="25" t="str">
        <x:v>2017-11-01_02-279136.pdf</x:v>
      </x:c>
      <x:c r="P309" s="28" t="n">
        <x:v>1</x:v>
      </x:c>
      <x:c r="Q309" s="29" t="str">
        <x:v>Ingen amorteringsrad redovisas på avin.</x:v>
      </x:c>
    </x:row>
    <x:row r="310">
      <x:c r="A310" s="24" t="n">
        <x:v>43070</x:v>
      </x:c>
      <x:c r="B310" s="25" t="str">
        <x:v>Bolån</x:v>
      </x:c>
      <x:c r="C310" s="25" t="str">
        <x:v>Stadshypotek AB</x:v>
      </x:c>
      <x:c r="D310" s="25" t="str">
        <x:v>02-279136</x:v>
      </x:c>
      <x:c r="E310" s="25" t="str">
        <x:v>821824</x:v>
      </x:c>
      <x:c r="F310" s="29" t="str">
        <x:v>HSB Brf Siljan i Stockholm, lgh 178</x:v>
      </x:c>
      <x:c r="G310" s="26" t="n">
        <x:v>160000</x:v>
      </x:c>
      <x:c r="H310" s="27" t="n">
        <x:v>0.020499999999999997</x:v>
      </x:c>
      <x:c r="I310" s="24" t="n">
        <x:v>43040</x:v>
      </x:c>
      <x:c r="J310" s="28" t="n">
        <x:v>30</x:v>
      </x:c>
      <x:c r="K310" s="26" t="n">
        <x:v>273</x:v>
      </x:c>
      <x:c r="L310" s="26" t="n">
        <x:v>0</x:v>
      </x:c>
      <x:c r="M310" s="26" t="n">
        <x:v>0</x:v>
      </x:c>
      <x:c r="N310" s="26" t="n">
        <x:f>SUM(K310:M310)</x:f>
        <x:v>273</x:v>
      </x:c>
      <x:c r="O310" s="25" t="str">
        <x:v>2017-12-01_02-279136.pdf</x:v>
      </x:c>
      <x:c r="P310" s="28" t="n">
        <x:v>1</x:v>
      </x:c>
      <x:c r="Q310" s="29" t="str">
        <x:v>Ingen amorteringsrad redovisas på avin.</x:v>
      </x:c>
    </x:row>
    <x:row r="311">
      <x:c r="A311" s="24" t="n">
        <x:v>43101</x:v>
      </x:c>
      <x:c r="B311" s="25" t="str">
        <x:v>Bolån</x:v>
      </x:c>
      <x:c r="C311" s="25" t="str">
        <x:v>Stadshypotek AB</x:v>
      </x:c>
      <x:c r="D311" s="25" t="str">
        <x:v>02-279136</x:v>
      </x:c>
      <x:c r="E311" s="25" t="str">
        <x:v>821824</x:v>
      </x:c>
      <x:c r="F311" s="29" t="str">
        <x:v>HSB Brf Siljan i Stockholm, lgh 178</x:v>
      </x:c>
      <x:c r="G311" s="26" t="n">
        <x:v>160000</x:v>
      </x:c>
      <x:c r="H311" s="27" t="n">
        <x:v>0.020499999999999997</x:v>
      </x:c>
      <x:c r="I311" s="24" t="n">
        <x:v>43070</x:v>
      </x:c>
      <x:c r="J311" s="28" t="n">
        <x:v>30</x:v>
      </x:c>
      <x:c r="K311" s="26" t="n">
        <x:v>273</x:v>
      </x:c>
      <x:c r="L311" s="26" t="n">
        <x:v>0</x:v>
      </x:c>
      <x:c r="M311" s="26" t="n">
        <x:v>0</x:v>
      </x:c>
      <x:c r="N311" s="26" t="n">
        <x:f>SUM(K311:M311)</x:f>
        <x:v>273</x:v>
      </x:c>
      <x:c r="O311" s="25" t="str">
        <x:v>2018-01-01_02-279136.pdf</x:v>
      </x:c>
      <x:c r="P311" s="28" t="n">
        <x:v>1</x:v>
      </x:c>
      <x:c r="Q311" s="29" t="str">
        <x:v>Ingen amorteringsrad redovisas på avin.</x:v>
      </x:c>
    </x:row>
    <x:row r="312">
      <x:c r="A312" s="24" t="n">
        <x:v>43132</x:v>
      </x:c>
      <x:c r="B312" s="25" t="str">
        <x:v>Bolån</x:v>
      </x:c>
      <x:c r="C312" s="25" t="str">
        <x:v>Stadshypotek AB</x:v>
      </x:c>
      <x:c r="D312" s="25" t="str">
        <x:v>02-279136</x:v>
      </x:c>
      <x:c r="E312" s="25" t="str">
        <x:v>821824</x:v>
      </x:c>
      <x:c r="F312" s="29" t="str">
        <x:v>HSB Brf Siljan i Stockholm, lgh 178</x:v>
      </x:c>
      <x:c r="G312" s="26" t="n">
        <x:v>160000</x:v>
      </x:c>
      <x:c r="H312" s="27" t="n">
        <x:v>0.020499999999999997</x:v>
      </x:c>
      <x:c r="I312" s="24" t="n">
        <x:v>43101</x:v>
      </x:c>
      <x:c r="J312" s="28" t="n">
        <x:v>30</x:v>
      </x:c>
      <x:c r="K312" s="26" t="n">
        <x:v>273</x:v>
      </x:c>
      <x:c r="L312" s="26" t="n">
        <x:v>0</x:v>
      </x:c>
      <x:c r="M312" s="26" t="n">
        <x:v>0</x:v>
      </x:c>
      <x:c r="N312" s="26" t="n">
        <x:f>SUM(K312:M312)</x:f>
        <x:v>273</x:v>
      </x:c>
      <x:c r="O312" s="25" t="str">
        <x:v>2018-02-01_02-279136.pdf</x:v>
      </x:c>
      <x:c r="P312" s="28" t="n">
        <x:v>1</x:v>
      </x:c>
      <x:c r="Q312" s="29" t="str">
        <x:v>Ingen amorteringsrad redovisas på avin.</x:v>
      </x:c>
    </x:row>
    <x:row r="313">
      <x:c r="A313" s="24" t="n">
        <x:v>43160</x:v>
      </x:c>
      <x:c r="B313" s="25" t="str">
        <x:v>Bolån</x:v>
      </x:c>
      <x:c r="C313" s="25" t="str">
        <x:v>Stadshypotek AB</x:v>
      </x:c>
      <x:c r="D313" s="25" t="str">
        <x:v>02-279136</x:v>
      </x:c>
      <x:c r="E313" s="25" t="str">
        <x:v>821824</x:v>
      </x:c>
      <x:c r="F313" s="29" t="str">
        <x:v>HSB Brf Siljan i Stockholm, lgh 178</x:v>
      </x:c>
      <x:c r="G313" s="26" t="n">
        <x:v>160000</x:v>
      </x:c>
      <x:c r="H313" s="27" t="n">
        <x:v>0.020499999999999997</x:v>
      </x:c>
      <x:c r="I313" s="24" t="n">
        <x:v>43132</x:v>
      </x:c>
      <x:c r="J313" s="28" t="n">
        <x:v>30</x:v>
      </x:c>
      <x:c r="K313" s="26" t="n">
        <x:v>273</x:v>
      </x:c>
      <x:c r="L313" s="26" t="n">
        <x:v>0</x:v>
      </x:c>
      <x:c r="M313" s="26" t="n">
        <x:v>0</x:v>
      </x:c>
      <x:c r="N313" s="26" t="n">
        <x:f>SUM(K313:M313)</x:f>
        <x:v>273</x:v>
      </x:c>
      <x:c r="O313" s="25" t="str">
        <x:v>2018-03-01_02-279136.pdf</x:v>
      </x:c>
      <x:c r="P313" s="28" t="n">
        <x:v>1</x:v>
      </x:c>
      <x:c r="Q313" s="29" t="str">
        <x:v>Ingen amorteringsrad redovisas på avin.</x:v>
      </x:c>
    </x:row>
    <x:row r="314">
      <x:c r="A314" s="24" t="n">
        <x:v>43191</x:v>
      </x:c>
      <x:c r="B314" s="25" t="str">
        <x:v>Bolån</x:v>
      </x:c>
      <x:c r="C314" s="25" t="str">
        <x:v>Stadshypotek AB</x:v>
      </x:c>
      <x:c r="D314" s="25" t="str">
        <x:v>02-279136</x:v>
      </x:c>
      <x:c r="E314" s="25" t="str">
        <x:v>821824</x:v>
      </x:c>
      <x:c r="F314" s="29" t="str">
        <x:v>HSB Brf Siljan i Stockholm, lgh 178</x:v>
      </x:c>
      <x:c r="G314" s="26" t="n">
        <x:v>160000</x:v>
      </x:c>
      <x:c r="H314" s="27" t="n">
        <x:v>0.020499999999999997</x:v>
      </x:c>
      <x:c r="I314" s="24" t="n">
        <x:v>43160</x:v>
      </x:c>
      <x:c r="J314" s="28" t="n">
        <x:v>30</x:v>
      </x:c>
      <x:c r="K314" s="26" t="n">
        <x:v>273</x:v>
      </x:c>
      <x:c r="L314" s="26" t="n">
        <x:v>0</x:v>
      </x:c>
      <x:c r="M314" s="26" t="n">
        <x:v>0</x:v>
      </x:c>
      <x:c r="N314" s="26" t="n">
        <x:f>SUM(K314:M314)</x:f>
        <x:v>273</x:v>
      </x:c>
      <x:c r="O314" s="25" t="str">
        <x:v>2018-04-01_02-279136.pdf</x:v>
      </x:c>
      <x:c r="P314" s="28" t="n">
        <x:v>1</x:v>
      </x:c>
      <x:c r="Q314" s="29" t="str">
        <x:v>Ingen amorteringsrad redovisas på avin.</x:v>
      </x:c>
    </x:row>
    <x:row r="315">
      <x:c r="A315" s="24" t="n">
        <x:v>43221</x:v>
      </x:c>
      <x:c r="B315" s="25" t="str">
        <x:v>Bolån</x:v>
      </x:c>
      <x:c r="C315" s="25" t="str">
        <x:v>Stadshypotek AB</x:v>
      </x:c>
      <x:c r="D315" s="25" t="str">
        <x:v>02-279136</x:v>
      </x:c>
      <x:c r="E315" s="25" t="str">
        <x:v>821824</x:v>
      </x:c>
      <x:c r="F315" s="29" t="str">
        <x:v>HSB Brf Siljan i Stockholm, lgh 178</x:v>
      </x:c>
      <x:c r="G315" s="26" t="n">
        <x:v>160000</x:v>
      </x:c>
      <x:c r="H315" s="27" t="n">
        <x:v>0.020499999999999997</x:v>
      </x:c>
      <x:c r="I315" s="24" t="n">
        <x:v>43191</x:v>
      </x:c>
      <x:c r="J315" s="28" t="n">
        <x:v>30</x:v>
      </x:c>
      <x:c r="K315" s="26" t="n">
        <x:v>273</x:v>
      </x:c>
      <x:c r="L315" s="26" t="n">
        <x:v>0</x:v>
      </x:c>
      <x:c r="M315" s="26" t="n">
        <x:v>0</x:v>
      </x:c>
      <x:c r="N315" s="26" t="n">
        <x:f>SUM(K315:M315)</x:f>
        <x:v>273</x:v>
      </x:c>
      <x:c r="O315" s="25" t="str">
        <x:v>2018-05-01_02-279136.pdf</x:v>
      </x:c>
      <x:c r="P315" s="28" t="n">
        <x:v>1</x:v>
      </x:c>
      <x:c r="Q315" s="29" t="str">
        <x:v>Ingen amorteringsrad redovisas på avin.</x:v>
      </x:c>
    </x:row>
    <x:row r="316">
      <x:c r="A316" s="24" t="n">
        <x:v>43252</x:v>
      </x:c>
      <x:c r="B316" s="25" t="str">
        <x:v>Bolån</x:v>
      </x:c>
      <x:c r="C316" s="25" t="str">
        <x:v>Stadshypotek AB</x:v>
      </x:c>
      <x:c r="D316" s="25" t="str">
        <x:v>02-279136</x:v>
      </x:c>
      <x:c r="E316" s="25" t="str">
        <x:v>821824</x:v>
      </x:c>
      <x:c r="F316" s="29" t="str">
        <x:v>HSB Brf Siljan i Stockholm, lgh 178</x:v>
      </x:c>
      <x:c r="G316" s="26" t="n">
        <x:v>160000</x:v>
      </x:c>
      <x:c r="H316" s="27" t="n">
        <x:v>0.020499999999999997</x:v>
      </x:c>
      <x:c r="I316" s="24" t="n">
        <x:v>43221</x:v>
      </x:c>
      <x:c r="J316" s="28" t="n">
        <x:v>30</x:v>
      </x:c>
      <x:c r="K316" s="26" t="n">
        <x:v>273</x:v>
      </x:c>
      <x:c r="L316" s="26" t="n">
        <x:v>0</x:v>
      </x:c>
      <x:c r="M316" s="26" t="n">
        <x:v>0</x:v>
      </x:c>
      <x:c r="N316" s="26" t="n">
        <x:f>SUM(K316:M316)</x:f>
        <x:v>273</x:v>
      </x:c>
      <x:c r="O316" s="25" t="str">
        <x:v>2018-06-01_02-279136.pdf</x:v>
      </x:c>
      <x:c r="P316" s="28" t="n">
        <x:v>1</x:v>
      </x:c>
      <x:c r="Q316" s="29" t="str">
        <x:v>Ingen amorteringsrad redovisas på avin.</x:v>
      </x:c>
    </x:row>
    <x:row r="317">
      <x:c r="A317" s="24" t="n">
        <x:v>43282</x:v>
      </x:c>
      <x:c r="B317" s="25" t="str">
        <x:v>Bolån</x:v>
      </x:c>
      <x:c r="C317" s="25" t="str">
        <x:v>Stadshypotek AB</x:v>
      </x:c>
      <x:c r="D317" s="25" t="str">
        <x:v>02-279136</x:v>
      </x:c>
      <x:c r="E317" s="25" t="str">
        <x:v>821824</x:v>
      </x:c>
      <x:c r="F317" s="29" t="str">
        <x:v>HSB Brf Siljan i Stockholm, lgh 178</x:v>
      </x:c>
      <x:c r="G317" s="26" t="n">
        <x:v>160000</x:v>
      </x:c>
      <x:c r="H317" s="27" t="n">
        <x:v>0.020499999999999997</x:v>
      </x:c>
      <x:c r="I317" s="24" t="n">
        <x:v>43252</x:v>
      </x:c>
      <x:c r="J317" s="28" t="n">
        <x:v>30</x:v>
      </x:c>
      <x:c r="K317" s="26" t="n">
        <x:v>273</x:v>
      </x:c>
      <x:c r="L317" s="26" t="n">
        <x:v>0</x:v>
      </x:c>
      <x:c r="M317" s="26" t="n">
        <x:v>0</x:v>
      </x:c>
      <x:c r="N317" s="26" t="n">
        <x:f>SUM(K317:M317)</x:f>
        <x:v>273</x:v>
      </x:c>
      <x:c r="O317" s="25" t="str">
        <x:v>2018-07-01_02-279136.pdf</x:v>
      </x:c>
      <x:c r="P317" s="28" t="n">
        <x:v>1</x:v>
      </x:c>
      <x:c r="Q317" s="29" t="str">
        <x:v>Ingen amorteringsrad redovisas på avin.</x:v>
      </x:c>
    </x:row>
    <x:row r="318">
      <x:c r="A318" s="24" t="n">
        <x:v>43313</x:v>
      </x:c>
      <x:c r="B318" s="25" t="str">
        <x:v>Bolån</x:v>
      </x:c>
      <x:c r="C318" s="25" t="str">
        <x:v>Stadshypotek AB</x:v>
      </x:c>
      <x:c r="D318" s="25" t="str">
        <x:v>02-279136</x:v>
      </x:c>
      <x:c r="E318" s="25" t="str">
        <x:v>821824</x:v>
      </x:c>
      <x:c r="F318" s="29" t="str">
        <x:v>HSB Brf Siljan i Stockholm, lgh 178</x:v>
      </x:c>
      <x:c r="G318" s="26" t="n">
        <x:v>160000</x:v>
      </x:c>
      <x:c r="H318" s="27" t="n">
        <x:v>0.020499999999999997</x:v>
      </x:c>
      <x:c r="I318" s="24" t="n">
        <x:v>43282</x:v>
      </x:c>
      <x:c r="J318" s="28" t="n">
        <x:v>30</x:v>
      </x:c>
      <x:c r="K318" s="26" t="n">
        <x:v>273</x:v>
      </x:c>
      <x:c r="L318" s="26" t="n">
        <x:v>0</x:v>
      </x:c>
      <x:c r="M318" s="26" t="n">
        <x:v>0</x:v>
      </x:c>
      <x:c r="N318" s="26" t="n">
        <x:f>SUM(K318:M318)</x:f>
        <x:v>273</x:v>
      </x:c>
      <x:c r="O318" s="25" t="str">
        <x:v>2018-08-01_02-279136.pdf</x:v>
      </x:c>
      <x:c r="P318" s="28" t="n">
        <x:v>1</x:v>
      </x:c>
      <x:c r="Q318" s="29" t="str">
        <x:v>Ingen amorteringsrad redovisas på avin.</x:v>
      </x:c>
    </x:row>
    <x:row r="319">
      <x:c r="A319" s="24" t="n">
        <x:v>43344</x:v>
      </x:c>
      <x:c r="B319" s="25" t="str">
        <x:v>Bolån</x:v>
      </x:c>
      <x:c r="C319" s="25" t="str">
        <x:v>Stadshypotek AB</x:v>
      </x:c>
      <x:c r="D319" s="25" t="str">
        <x:v>02-279136</x:v>
      </x:c>
      <x:c r="E319" s="25" t="str">
        <x:v>821824</x:v>
      </x:c>
      <x:c r="F319" s="29" t="str">
        <x:v>HSB Brf Siljan i Stockholm, lgh 178</x:v>
      </x:c>
      <x:c r="G319" s="26" t="n">
        <x:v>160000</x:v>
      </x:c>
      <x:c r="H319" s="27" t="n">
        <x:v>0.020499999999999997</x:v>
      </x:c>
      <x:c r="I319" s="24" t="n">
        <x:v>43313</x:v>
      </x:c>
      <x:c r="J319" s="28" t="n">
        <x:v>30</x:v>
      </x:c>
      <x:c r="K319" s="26" t="n">
        <x:v>273</x:v>
      </x:c>
      <x:c r="L319" s="26" t="n">
        <x:v>0</x:v>
      </x:c>
      <x:c r="M319" s="26" t="n">
        <x:v>0</x:v>
      </x:c>
      <x:c r="N319" s="26" t="n">
        <x:f>SUM(K319:M319)</x:f>
        <x:v>273</x:v>
      </x:c>
      <x:c r="O319" s="25" t="str">
        <x:v>2018-09-01_02-279136.pdf</x:v>
      </x:c>
      <x:c r="P319" s="28" t="n">
        <x:v>1</x:v>
      </x:c>
      <x:c r="Q319" s="29" t="str">
        <x:v>Ingen amorteringsrad redovisas på avin.</x:v>
      </x:c>
    </x:row>
    <x:row r="320">
      <x:c r="A320" s="24" t="n">
        <x:v>43374</x:v>
      </x:c>
      <x:c r="B320" s="25" t="str">
        <x:v>Bolån</x:v>
      </x:c>
      <x:c r="C320" s="25" t="str">
        <x:v>Stadshypotek AB</x:v>
      </x:c>
      <x:c r="D320" s="25" t="str">
        <x:v>02-279136</x:v>
      </x:c>
      <x:c r="E320" s="25" t="str">
        <x:v>821824</x:v>
      </x:c>
      <x:c r="F320" s="29" t="str">
        <x:v>HSB Brf Siljan i Stockholm, lgh 178</x:v>
      </x:c>
      <x:c r="G320" s="26" t="n">
        <x:v>160000</x:v>
      </x:c>
      <x:c r="H320" s="27" t="n">
        <x:v>0.020499999999999997</x:v>
      </x:c>
      <x:c r="I320" s="24" t="n">
        <x:v>43344</x:v>
      </x:c>
      <x:c r="J320" s="28" t="n">
        <x:v>30</x:v>
      </x:c>
      <x:c r="K320" s="26" t="n">
        <x:v>273</x:v>
      </x:c>
      <x:c r="L320" s="26" t="n">
        <x:v>0</x:v>
      </x:c>
      <x:c r="M320" s="26" t="n">
        <x:v>0</x:v>
      </x:c>
      <x:c r="N320" s="26" t="n">
        <x:f>SUM(K320:M320)</x:f>
        <x:v>273</x:v>
      </x:c>
      <x:c r="O320" s="25" t="str">
        <x:v>2018-10-01_02-279136.pdf</x:v>
      </x:c>
      <x:c r="P320" s="28" t="n">
        <x:v>1</x:v>
      </x:c>
      <x:c r="Q320" s="29" t="str">
        <x:v>Ingen amorteringsrad redovisas på avin.</x:v>
      </x:c>
    </x:row>
    <x:row r="321">
      <x:c r="A321" s="24" t="n">
        <x:v>43405</x:v>
      </x:c>
      <x:c r="B321" s="25" t="str">
        <x:v>Bolån</x:v>
      </x:c>
      <x:c r="C321" s="25" t="str">
        <x:v>Stadshypotek AB</x:v>
      </x:c>
      <x:c r="D321" s="25" t="str">
        <x:v>02-279136</x:v>
      </x:c>
      <x:c r="E321" s="25" t="str">
        <x:v>821824</x:v>
      </x:c>
      <x:c r="F321" s="29" t="str">
        <x:v>HSB Brf Siljan i Stockholm, lgh 178</x:v>
      </x:c>
      <x:c r="G321" s="26" t="n">
        <x:v>160000</x:v>
      </x:c>
      <x:c r="H321" s="27" t="n">
        <x:v>0.020499999999999997</x:v>
      </x:c>
      <x:c r="I321" s="24" t="n">
        <x:v>43374</x:v>
      </x:c>
      <x:c r="J321" s="28" t="n">
        <x:v>30</x:v>
      </x:c>
      <x:c r="K321" s="26" t="n">
        <x:v>273</x:v>
      </x:c>
      <x:c r="L321" s="26" t="n">
        <x:v>0</x:v>
      </x:c>
      <x:c r="M321" s="26" t="n">
        <x:v>0</x:v>
      </x:c>
      <x:c r="N321" s="26" t="n">
        <x:f>SUM(K321:M321)</x:f>
        <x:v>273</x:v>
      </x:c>
      <x:c r="O321" s="25" t="str">
        <x:v>2018-11-01_02-279136.pdf</x:v>
      </x:c>
      <x:c r="P321" s="28" t="n">
        <x:v>1</x:v>
      </x:c>
      <x:c r="Q321" s="29" t="str">
        <x:v>Ingen amorteringsrad redovisas på avin.</x:v>
      </x:c>
    </x:row>
    <x:row r="322">
      <x:c r="A322" s="24" t="n">
        <x:v>43435</x:v>
      </x:c>
      <x:c r="B322" s="25" t="str">
        <x:v>Bolån</x:v>
      </x:c>
      <x:c r="C322" s="25" t="str">
        <x:v>Stadshypotek AB</x:v>
      </x:c>
      <x:c r="D322" s="25" t="str">
        <x:v>02-279136</x:v>
      </x:c>
      <x:c r="E322" s="25" t="str">
        <x:v>821824</x:v>
      </x:c>
      <x:c r="F322" s="29" t="str">
        <x:v>HSB Brf Siljan i Stockholm, lgh 178</x:v>
      </x:c>
      <x:c r="G322" s="26" t="n">
        <x:v>160000</x:v>
      </x:c>
      <x:c r="H322" s="27" t="n">
        <x:v>0.020499999999999997</x:v>
      </x:c>
      <x:c r="I322" s="24" t="n">
        <x:v>43405</x:v>
      </x:c>
      <x:c r="J322" s="28" t="n">
        <x:v>30</x:v>
      </x:c>
      <x:c r="K322" s="26" t="n">
        <x:v>273</x:v>
      </x:c>
      <x:c r="L322" s="26" t="n">
        <x:v>0</x:v>
      </x:c>
      <x:c r="M322" s="26" t="n">
        <x:v>0</x:v>
      </x:c>
      <x:c r="N322" s="26" t="n">
        <x:f>SUM(K322:M322)</x:f>
        <x:v>273</x:v>
      </x:c>
      <x:c r="O322" s="25" t="str">
        <x:v>2018-12-01_02-279136.pdf</x:v>
      </x:c>
      <x:c r="P322" s="28" t="n">
        <x:v>1</x:v>
      </x:c>
      <x:c r="Q322" s="29" t="str">
        <x:v>Ingen amorteringsrad redovisas på avin.</x:v>
      </x:c>
    </x:row>
    <x:row r="323">
      <x:c r="A323" s="24" t="n">
        <x:v>43466</x:v>
      </x:c>
      <x:c r="B323" s="25" t="str">
        <x:v>Bolån</x:v>
      </x:c>
      <x:c r="C323" s="25" t="str">
        <x:v>Stadshypotek AB</x:v>
      </x:c>
      <x:c r="D323" s="25" t="str">
        <x:v>02-279136</x:v>
      </x:c>
      <x:c r="E323" s="25" t="str">
        <x:v>821824</x:v>
      </x:c>
      <x:c r="F323" s="29" t="str">
        <x:v>HSB Brf Siljan i Stockholm, lgh 178</x:v>
      </x:c>
      <x:c r="G323" s="26" t="n">
        <x:v>160000</x:v>
      </x:c>
      <x:c r="H323" s="27" t="n">
        <x:v>0.020499999999999997</x:v>
      </x:c>
      <x:c r="I323" s="24" t="n">
        <x:v>43435</x:v>
      </x:c>
      <x:c r="J323" s="28" t="n">
        <x:v>30</x:v>
      </x:c>
      <x:c r="K323" s="26" t="n">
        <x:v>273</x:v>
      </x:c>
      <x:c r="L323" s="26" t="n">
        <x:v>0</x:v>
      </x:c>
      <x:c r="M323" s="26" t="n">
        <x:v>0</x:v>
      </x:c>
      <x:c r="N323" s="26" t="n">
        <x:f>SUM(K323:M323)</x:f>
        <x:v>273</x:v>
      </x:c>
      <x:c r="O323" s="25" t="str">
        <x:v>2019-01-01_02-279136.pdf</x:v>
      </x:c>
      <x:c r="P323" s="28" t="n">
        <x:v>1</x:v>
      </x:c>
      <x:c r="Q323" s="29" t="str">
        <x:v>Ingen amorteringsrad redovisas på avin.</x:v>
      </x:c>
    </x:row>
    <x:row r="324">
      <x:c r="A324" s="24" t="n">
        <x:v>43497</x:v>
      </x:c>
      <x:c r="B324" s="25" t="str">
        <x:v>Bolån</x:v>
      </x:c>
      <x:c r="C324" s="25" t="str">
        <x:v>Stadshypotek AB</x:v>
      </x:c>
      <x:c r="D324" s="25" t="str">
        <x:v>02-279136</x:v>
      </x:c>
      <x:c r="E324" s="25" t="str">
        <x:v>821824</x:v>
      </x:c>
      <x:c r="F324" s="29" t="str">
        <x:v>HSB Brf Siljan i Stockholm, lgh 178</x:v>
      </x:c>
      <x:c r="G324" s="26" t="n">
        <x:v>160000</x:v>
      </x:c>
      <x:c r="H324" s="27" t="n">
        <x:v>0.020499999999999997</x:v>
      </x:c>
      <x:c r="I324" s="24" t="n">
        <x:v>43466</x:v>
      </x:c>
      <x:c r="J324" s="28" t="n">
        <x:v>30</x:v>
      </x:c>
      <x:c r="K324" s="26" t="n">
        <x:v>273</x:v>
      </x:c>
      <x:c r="L324" s="26" t="n">
        <x:v>0</x:v>
      </x:c>
      <x:c r="M324" s="26" t="n">
        <x:v>0</x:v>
      </x:c>
      <x:c r="N324" s="26" t="n">
        <x:f>SUM(K324:M324)</x:f>
        <x:v>273</x:v>
      </x:c>
      <x:c r="O324" s="25" t="str">
        <x:v>2019-02-01_02-279136.pdf</x:v>
      </x:c>
      <x:c r="P324" s="28" t="n">
        <x:v>1</x:v>
      </x:c>
      <x:c r="Q324" s="29" t="str">
        <x:v>Ingen amorteringsrad redovisas på avin.</x:v>
      </x:c>
    </x:row>
    <x:row r="325">
      <x:c r="A325" s="24" t="n">
        <x:v>43525</x:v>
      </x:c>
      <x:c r="B325" s="25" t="str">
        <x:v>Bolån</x:v>
      </x:c>
      <x:c r="C325" s="25" t="str">
        <x:v>Stadshypotek AB</x:v>
      </x:c>
      <x:c r="D325" s="25" t="str">
        <x:v>02-279136</x:v>
      </x:c>
      <x:c r="E325" s="25" t="str">
        <x:v>821824</x:v>
      </x:c>
      <x:c r="F325" s="29" t="str">
        <x:v>HSB Brf Siljan i Stockholm, lgh 178</x:v>
      </x:c>
      <x:c r="G325" s="26" t="n">
        <x:v>160000</x:v>
      </x:c>
      <x:c r="H325" s="27" t="n">
        <x:v>0.020499999999999997</x:v>
      </x:c>
      <x:c r="I325" s="24" t="n">
        <x:v>43497</x:v>
      </x:c>
      <x:c r="J325" s="28" t="n">
        <x:v>30</x:v>
      </x:c>
      <x:c r="K325" s="26" t="n">
        <x:v>273</x:v>
      </x:c>
      <x:c r="L325" s="26" t="n">
        <x:v>0</x:v>
      </x:c>
      <x:c r="M325" s="26" t="n">
        <x:v>0</x:v>
      </x:c>
      <x:c r="N325" s="26" t="n">
        <x:f>SUM(K325:M325)</x:f>
        <x:v>273</x:v>
      </x:c>
      <x:c r="O325" s="25" t="str">
        <x:v>2019-03-01_02-279136.pdf</x:v>
      </x:c>
      <x:c r="P325" s="28" t="n">
        <x:v>1</x:v>
      </x:c>
      <x:c r="Q325" s="29" t="str">
        <x:v>Ingen amorteringsrad redovisas på avin.</x:v>
      </x:c>
    </x:row>
    <x:row r="326">
      <x:c r="A326" s="24" t="n">
        <x:v>43556</x:v>
      </x:c>
      <x:c r="B326" s="25" t="str">
        <x:v>Bolån</x:v>
      </x:c>
      <x:c r="C326" s="25" t="str">
        <x:v>Stadshypotek AB</x:v>
      </x:c>
      <x:c r="D326" s="25" t="str">
        <x:v>02-279136</x:v>
      </x:c>
      <x:c r="E326" s="25" t="str">
        <x:v>821824</x:v>
      </x:c>
      <x:c r="F326" s="29" t="str">
        <x:v>HSB Brf Siljan i Stockholm, lgh 178</x:v>
      </x:c>
      <x:c r="G326" s="26" t="n">
        <x:v>160000</x:v>
      </x:c>
      <x:c r="H326" s="27" t="n">
        <x:v>0.0225</x:v>
      </x:c>
      <x:c r="I326" s="24" t="n">
        <x:v>43525</x:v>
      </x:c>
      <x:c r="J326" s="28" t="n">
        <x:v>30</x:v>
      </x:c>
      <x:c r="K326" s="26" t="n">
        <x:v>300</x:v>
      </x:c>
      <x:c r="L326" s="26" t="n">
        <x:v>0</x:v>
      </x:c>
      <x:c r="M326" s="26" t="n">
        <x:v>0</x:v>
      </x:c>
      <x:c r="N326" s="26" t="n">
        <x:f>SUM(K326:M326)</x:f>
        <x:v>300</x:v>
      </x:c>
      <x:c r="O326" s="25" t="str">
        <x:v>2019-04-01_02-279136.pdf</x:v>
      </x:c>
      <x:c r="P326" s="28" t="n">
        <x:v>1</x:v>
      </x:c>
      <x:c r="Q326" s="29" t="str">
        <x:v>Ingen amorteringsrad redovisas på avin.</x:v>
      </x:c>
    </x:row>
    <x:row r="327">
      <x:c r="A327" s="24" t="n">
        <x:v>43586</x:v>
      </x:c>
      <x:c r="B327" s="25" t="str">
        <x:v>Bolån</x:v>
      </x:c>
      <x:c r="C327" s="25" t="str">
        <x:v>Stadshypotek AB</x:v>
      </x:c>
      <x:c r="D327" s="25" t="str">
        <x:v>02-279136</x:v>
      </x:c>
      <x:c r="E327" s="25" t="str">
        <x:v>821824</x:v>
      </x:c>
      <x:c r="F327" s="29" t="str">
        <x:v>HSB Brf Siljan i Stockholm, lgh 178</x:v>
      </x:c>
      <x:c r="G327" s="26" t="n">
        <x:v>160000</x:v>
      </x:c>
      <x:c r="H327" s="27" t="n">
        <x:v>0.0225</x:v>
      </x:c>
      <x:c r="I327" s="24" t="n">
        <x:v>43556</x:v>
      </x:c>
      <x:c r="J327" s="28" t="n">
        <x:v>30</x:v>
      </x:c>
      <x:c r="K327" s="26" t="n">
        <x:v>300</x:v>
      </x:c>
      <x:c r="L327" s="26" t="n">
        <x:v>0</x:v>
      </x:c>
      <x:c r="M327" s="26" t="n">
        <x:v>0</x:v>
      </x:c>
      <x:c r="N327" s="26" t="n">
        <x:f>SUM(K327:M327)</x:f>
        <x:v>300</x:v>
      </x:c>
      <x:c r="O327" s="25" t="str">
        <x:v>2019-05-01_02-279136.pdf</x:v>
      </x:c>
      <x:c r="P327" s="28" t="n">
        <x:v>1</x:v>
      </x:c>
      <x:c r="Q327" s="29" t="str">
        <x:v>Ingen amorteringsrad redovisas på avin.</x:v>
      </x:c>
    </x:row>
    <x:row r="328">
      <x:c r="A328" s="24" t="n">
        <x:v>43617</x:v>
      </x:c>
      <x:c r="B328" s="25" t="str">
        <x:v>Bolån</x:v>
      </x:c>
      <x:c r="C328" s="25" t="str">
        <x:v>Stadshypotek AB</x:v>
      </x:c>
      <x:c r="D328" s="25" t="str">
        <x:v>02-279136</x:v>
      </x:c>
      <x:c r="E328" s="25" t="str">
        <x:v>821824</x:v>
      </x:c>
      <x:c r="F328" s="29" t="str">
        <x:v>HSB Brf Siljan i Stockholm, lgh 178</x:v>
      </x:c>
      <x:c r="G328" s="26" t="n">
        <x:v>160000</x:v>
      </x:c>
      <x:c r="H328" s="27" t="n">
        <x:v>0.0225</x:v>
      </x:c>
      <x:c r="I328" s="24" t="n">
        <x:v>43586</x:v>
      </x:c>
      <x:c r="J328" s="28" t="n">
        <x:v>30</x:v>
      </x:c>
      <x:c r="K328" s="26" t="n">
        <x:v>300</x:v>
      </x:c>
      <x:c r="L328" s="26" t="n">
        <x:v>0</x:v>
      </x:c>
      <x:c r="M328" s="26" t="n">
        <x:v>0</x:v>
      </x:c>
      <x:c r="N328" s="26" t="n">
        <x:f>SUM(K328:M328)</x:f>
        <x:v>300</x:v>
      </x:c>
      <x:c r="O328" s="25" t="str">
        <x:v>2019-06-01_02-279136.pdf</x:v>
      </x:c>
      <x:c r="P328" s="28" t="n">
        <x:v>1</x:v>
      </x:c>
      <x:c r="Q328" s="29" t="str">
        <x:v>Ingen amorteringsrad redovisas på avin.</x:v>
      </x:c>
    </x:row>
    <x:row r="329">
      <x:c r="A329" s="24" t="n">
        <x:v>43647</x:v>
      </x:c>
      <x:c r="B329" s="25" t="str">
        <x:v>Bolån</x:v>
      </x:c>
      <x:c r="C329" s="25" t="str">
        <x:v>Stadshypotek AB</x:v>
      </x:c>
      <x:c r="D329" s="25" t="str">
        <x:v>02-279136</x:v>
      </x:c>
      <x:c r="E329" s="25" t="str">
        <x:v>821824</x:v>
      </x:c>
      <x:c r="F329" s="29" t="str">
        <x:v>HSB Brf Siljan i Stockholm, lgh 178</x:v>
      </x:c>
      <x:c r="G329" s="26" t="n">
        <x:v>160000</x:v>
      </x:c>
      <x:c r="H329" s="27" t="n">
        <x:v>0.0225</x:v>
      </x:c>
      <x:c r="I329" s="24" t="n">
        <x:v>43617</x:v>
      </x:c>
      <x:c r="J329" s="28" t="n">
        <x:v>30</x:v>
      </x:c>
      <x:c r="K329" s="26" t="n">
        <x:v>300</x:v>
      </x:c>
      <x:c r="L329" s="26" t="n">
        <x:v>0</x:v>
      </x:c>
      <x:c r="M329" s="26" t="n">
        <x:v>0</x:v>
      </x:c>
      <x:c r="N329" s="26" t="n">
        <x:f>SUM(K329:M329)</x:f>
        <x:v>300</x:v>
      </x:c>
      <x:c r="O329" s="25" t="str">
        <x:v>2019-07-01_02-279136.pdf</x:v>
      </x:c>
      <x:c r="P329" s="28" t="n">
        <x:v>1</x:v>
      </x:c>
      <x:c r="Q329" s="29" t="str">
        <x:v>Ingen amorteringsrad redovisas på avin.</x:v>
      </x:c>
    </x:row>
    <x:row r="330">
      <x:c r="A330" s="24" t="n">
        <x:v>43678</x:v>
      </x:c>
      <x:c r="B330" s="25" t="str">
        <x:v>Bolån</x:v>
      </x:c>
      <x:c r="C330" s="25" t="str">
        <x:v>Stadshypotek AB</x:v>
      </x:c>
      <x:c r="D330" s="25" t="str">
        <x:v>02-279136</x:v>
      </x:c>
      <x:c r="E330" s="25" t="str">
        <x:v>821824</x:v>
      </x:c>
      <x:c r="F330" s="29" t="str">
        <x:v>HSB Brf Siljan i Stockholm, lgh 178</x:v>
      </x:c>
      <x:c r="G330" s="26" t="n">
        <x:v>160000</x:v>
      </x:c>
      <x:c r="H330" s="27" t="n">
        <x:v>0.0225</x:v>
      </x:c>
      <x:c r="I330" s="24" t="n">
        <x:v>43647</x:v>
      </x:c>
      <x:c r="J330" s="28" t="n">
        <x:v>30</x:v>
      </x:c>
      <x:c r="K330" s="26" t="n">
        <x:v>300</x:v>
      </x:c>
      <x:c r="L330" s="26" t="n">
        <x:v>0</x:v>
      </x:c>
      <x:c r="M330" s="26" t="n">
        <x:v>0</x:v>
      </x:c>
      <x:c r="N330" s="26" t="n">
        <x:f>SUM(K330:M330)</x:f>
        <x:v>300</x:v>
      </x:c>
      <x:c r="O330" s="25" t="str">
        <x:v>2019-08-01_02-279136.pdf</x:v>
      </x:c>
      <x:c r="P330" s="28" t="n">
        <x:v>1</x:v>
      </x:c>
      <x:c r="Q330" s="29" t="str">
        <x:v>Ingen amorteringsrad redovisas på avin.</x:v>
      </x:c>
    </x:row>
    <x:row r="331">
      <x:c r="A331" s="24" t="n">
        <x:v>43709</x:v>
      </x:c>
      <x:c r="B331" s="25" t="str">
        <x:v>Bolån</x:v>
      </x:c>
      <x:c r="C331" s="25" t="str">
        <x:v>Stadshypotek AB</x:v>
      </x:c>
      <x:c r="D331" s="25" t="str">
        <x:v>02-279136</x:v>
      </x:c>
      <x:c r="E331" s="25" t="str">
        <x:v>821824</x:v>
      </x:c>
      <x:c r="F331" s="29" t="str">
        <x:v>HSB Brf Siljan i Stockholm, lgh 178</x:v>
      </x:c>
      <x:c r="G331" s="26" t="n">
        <x:v>160000</x:v>
      </x:c>
      <x:c r="H331" s="27" t="n">
        <x:v>0.0225</x:v>
      </x:c>
      <x:c r="I331" s="24" t="n">
        <x:v>43678</x:v>
      </x:c>
      <x:c r="J331" s="28" t="n">
        <x:v>30</x:v>
      </x:c>
      <x:c r="K331" s="26" t="n">
        <x:v>300</x:v>
      </x:c>
      <x:c r="L331" s="26" t="n">
        <x:v>0</x:v>
      </x:c>
      <x:c r="M331" s="26" t="n">
        <x:v>0</x:v>
      </x:c>
      <x:c r="N331" s="26" t="n">
        <x:f>SUM(K331:M331)</x:f>
        <x:v>300</x:v>
      </x:c>
      <x:c r="O331" s="25" t="str">
        <x:v>2019-09-01_02-279136.pdf</x:v>
      </x:c>
      <x:c r="P331" s="28" t="n">
        <x:v>1</x:v>
      </x:c>
      <x:c r="Q331" s="29" t="str">
        <x:v>Ingen amorteringsrad redovisas på avin.</x:v>
      </x:c>
    </x:row>
    <x:row r="332">
      <x:c r="A332" s="24" t="n">
        <x:v>43739</x:v>
      </x:c>
      <x:c r="B332" s="25" t="str">
        <x:v>Bolån</x:v>
      </x:c>
      <x:c r="C332" s="25" t="str">
        <x:v>Stadshypotek AB</x:v>
      </x:c>
      <x:c r="D332" s="25" t="str">
        <x:v>02-279136</x:v>
      </x:c>
      <x:c r="E332" s="25" t="str">
        <x:v>821824</x:v>
      </x:c>
      <x:c r="F332" s="29" t="str">
        <x:v>HSB Brf Siljan i Stockholm, lgh 178</x:v>
      </x:c>
      <x:c r="G332" s="26" t="n">
        <x:v>160000</x:v>
      </x:c>
      <x:c r="H332" s="27" t="n">
        <x:v>0.0225</x:v>
      </x:c>
      <x:c r="I332" s="24" t="n">
        <x:v>43709</x:v>
      </x:c>
      <x:c r="J332" s="28" t="n">
        <x:v>30</x:v>
      </x:c>
      <x:c r="K332" s="26" t="n">
        <x:v>300</x:v>
      </x:c>
      <x:c r="L332" s="26" t="n">
        <x:v>0</x:v>
      </x:c>
      <x:c r="M332" s="26" t="n">
        <x:v>0</x:v>
      </x:c>
      <x:c r="N332" s="26" t="n">
        <x:f>SUM(K332:M332)</x:f>
        <x:v>300</x:v>
      </x:c>
      <x:c r="O332" s="25" t="str">
        <x:v>2019-10-01_02-279136.pdf</x:v>
      </x:c>
      <x:c r="P332" s="28" t="n">
        <x:v>1</x:v>
      </x:c>
      <x:c r="Q332" s="29" t="str">
        <x:v>Ingen amorteringsrad redovisas på avin.</x:v>
      </x:c>
    </x:row>
    <x:row r="333">
      <x:c r="A333" s="24" t="n">
        <x:v>43770</x:v>
      </x:c>
      <x:c r="B333" s="25" t="str">
        <x:v>Bolån</x:v>
      </x:c>
      <x:c r="C333" s="25" t="str">
        <x:v>Stadshypotek AB</x:v>
      </x:c>
      <x:c r="D333" s="25" t="str">
        <x:v>02-279136</x:v>
      </x:c>
      <x:c r="E333" s="25" t="str">
        <x:v>821824</x:v>
      </x:c>
      <x:c r="F333" s="29" t="str">
        <x:v>HSB Brf Siljan i Stockholm, lgh 178</x:v>
      </x:c>
      <x:c r="G333" s="26" t="n">
        <x:v>160000</x:v>
      </x:c>
      <x:c r="H333" s="27" t="n">
        <x:v>0.0225</x:v>
      </x:c>
      <x:c r="I333" s="24" t="n">
        <x:v>43739</x:v>
      </x:c>
      <x:c r="J333" s="28" t="n">
        <x:v>30</x:v>
      </x:c>
      <x:c r="K333" s="26" t="n">
        <x:v>300</x:v>
      </x:c>
      <x:c r="L333" s="26" t="n">
        <x:v>0</x:v>
      </x:c>
      <x:c r="M333" s="26" t="n">
        <x:v>0</x:v>
      </x:c>
      <x:c r="N333" s="26" t="n">
        <x:f>SUM(K333:M333)</x:f>
        <x:v>300</x:v>
      </x:c>
      <x:c r="O333" s="25" t="str">
        <x:v>2019-11-01_02-279136.pdf</x:v>
      </x:c>
      <x:c r="P333" s="28" t="n">
        <x:v>1</x:v>
      </x:c>
      <x:c r="Q333" s="29" t="str">
        <x:v>Ingen amorteringsrad redovisas på avin.</x:v>
      </x:c>
    </x:row>
    <x:row r="334">
      <x:c r="A334" s="24" t="n">
        <x:v>43800</x:v>
      </x:c>
      <x:c r="B334" s="25" t="str">
        <x:v>Bolån</x:v>
      </x:c>
      <x:c r="C334" s="25" t="str">
        <x:v>Stadshypotek AB</x:v>
      </x:c>
      <x:c r="D334" s="25" t="str">
        <x:v>02-279136</x:v>
      </x:c>
      <x:c r="E334" s="25" t="str">
        <x:v>821824</x:v>
      </x:c>
      <x:c r="F334" s="29" t="str">
        <x:v>HSB Brf Siljan i Stockholm, lgh 178</x:v>
      </x:c>
      <x:c r="G334" s="26" t="n">
        <x:v>160000</x:v>
      </x:c>
      <x:c r="H334" s="27" t="n">
        <x:v>0.0225</x:v>
      </x:c>
      <x:c r="I334" s="24" t="n">
        <x:v>43770</x:v>
      </x:c>
      <x:c r="J334" s="28" t="n">
        <x:v>30</x:v>
      </x:c>
      <x:c r="K334" s="26" t="n">
        <x:v>300</x:v>
      </x:c>
      <x:c r="L334" s="26" t="n">
        <x:v>0</x:v>
      </x:c>
      <x:c r="M334" s="26" t="n">
        <x:v>0</x:v>
      </x:c>
      <x:c r="N334" s="26" t="n">
        <x:f>SUM(K334:M334)</x:f>
        <x:v>300</x:v>
      </x:c>
      <x:c r="O334" s="25" t="str">
        <x:v>2019-12-01_02-279136.pdf</x:v>
      </x:c>
      <x:c r="P334" s="28" t="n">
        <x:v>1</x:v>
      </x:c>
      <x:c r="Q334" s="29" t="str">
        <x:v>Ingen amorteringsrad redovisas på avin.</x:v>
      </x:c>
    </x:row>
    <x:row r="335">
      <x:c r="A335" s="24" t="n">
        <x:v>43831</x:v>
      </x:c>
      <x:c r="B335" s="25" t="str">
        <x:v>Bolån</x:v>
      </x:c>
      <x:c r="C335" s="25" t="str">
        <x:v>Stadshypotek AB</x:v>
      </x:c>
      <x:c r="D335" s="25" t="str">
        <x:v>02-279136</x:v>
      </x:c>
      <x:c r="E335" s="25" t="str">
        <x:v>821824</x:v>
      </x:c>
      <x:c r="F335" s="29" t="str">
        <x:v>HSB Brf Siljan i Stockholm, lgh 178</x:v>
      </x:c>
      <x:c r="G335" s="26" t="n">
        <x:v>160000</x:v>
      </x:c>
      <x:c r="H335" s="27" t="n">
        <x:v>0.0225</x:v>
      </x:c>
      <x:c r="I335" s="24" t="n">
        <x:v>43800</x:v>
      </x:c>
      <x:c r="J335" s="28" t="n">
        <x:v>30</x:v>
      </x:c>
      <x:c r="K335" s="26" t="n">
        <x:v>300</x:v>
      </x:c>
      <x:c r="L335" s="26" t="n">
        <x:v>0</x:v>
      </x:c>
      <x:c r="M335" s="26" t="n">
        <x:v>0</x:v>
      </x:c>
      <x:c r="N335" s="26" t="n">
        <x:f>SUM(K335:M335)</x:f>
        <x:v>300</x:v>
      </x:c>
      <x:c r="O335" s="25" t="str">
        <x:v>2020-01-01_02-279136.pdf</x:v>
      </x:c>
      <x:c r="P335" s="28" t="n">
        <x:v>1</x:v>
      </x:c>
      <x:c r="Q335" s="29" t="str">
        <x:v>Ingen amorteringsrad redovisas på avin.</x:v>
      </x:c>
    </x:row>
    <x:row r="336">
      <x:c r="A336" s="24" t="n">
        <x:v>43862</x:v>
      </x:c>
      <x:c r="B336" s="25" t="str">
        <x:v>Bolån</x:v>
      </x:c>
      <x:c r="C336" s="25" t="str">
        <x:v>Stadshypotek AB</x:v>
      </x:c>
      <x:c r="D336" s="25" t="str">
        <x:v>02-279136</x:v>
      </x:c>
      <x:c r="E336" s="25" t="str">
        <x:v>821824</x:v>
      </x:c>
      <x:c r="F336" s="29" t="str">
        <x:v>HSB Brf Siljan i Stockholm, lgh 178</x:v>
      </x:c>
      <x:c r="G336" s="26" t="n">
        <x:v>160000</x:v>
      </x:c>
      <x:c r="H336" s="27" t="n">
        <x:v>0.0225</x:v>
      </x:c>
      <x:c r="I336" s="24" t="n">
        <x:v>43831</x:v>
      </x:c>
      <x:c r="J336" s="28" t="n">
        <x:v>30</x:v>
      </x:c>
      <x:c r="K336" s="26" t="n">
        <x:v>300</x:v>
      </x:c>
      <x:c r="L336" s="26" t="n">
        <x:v>0</x:v>
      </x:c>
      <x:c r="M336" s="26" t="n">
        <x:v>0</x:v>
      </x:c>
      <x:c r="N336" s="26" t="n">
        <x:f>SUM(K336:M336)</x:f>
        <x:v>300</x:v>
      </x:c>
      <x:c r="O336" s="25" t="str">
        <x:v>2020-02-01_02-279136.pdf</x:v>
      </x:c>
      <x:c r="P336" s="28" t="n">
        <x:v>1</x:v>
      </x:c>
      <x:c r="Q336" s="29" t="str">
        <x:v>Ingen amorteringsrad redovisas på avin.</x:v>
      </x:c>
    </x:row>
    <x:row r="337">
      <x:c r="A337" s="24" t="n">
        <x:v>43891</x:v>
      </x:c>
      <x:c r="B337" s="25" t="str">
        <x:v>Bolån</x:v>
      </x:c>
      <x:c r="C337" s="25" t="str">
        <x:v>Stadshypotek AB</x:v>
      </x:c>
      <x:c r="D337" s="25" t="str">
        <x:v>02-279136</x:v>
      </x:c>
      <x:c r="E337" s="25" t="str">
        <x:v>821824</x:v>
      </x:c>
      <x:c r="F337" s="29" t="str">
        <x:v>HSB Brf Siljan i Stockholm, lgh 178</x:v>
      </x:c>
      <x:c r="G337" s="26" t="n">
        <x:v>160000</x:v>
      </x:c>
      <x:c r="H337" s="27" t="n">
        <x:v>0.0225</x:v>
      </x:c>
      <x:c r="I337" s="24" t="n">
        <x:v>43862</x:v>
      </x:c>
      <x:c r="J337" s="28" t="n">
        <x:v>30</x:v>
      </x:c>
      <x:c r="K337" s="26" t="n">
        <x:v>300</x:v>
      </x:c>
      <x:c r="L337" s="26" t="n">
        <x:v>0</x:v>
      </x:c>
      <x:c r="M337" s="26" t="n">
        <x:v>0</x:v>
      </x:c>
      <x:c r="N337" s="26" t="n">
        <x:f>SUM(K337:M337)</x:f>
        <x:v>300</x:v>
      </x:c>
      <x:c r="O337" s="25" t="str">
        <x:v>2020-03-01_02-279136.pdf</x:v>
      </x:c>
      <x:c r="P337" s="28" t="n">
        <x:v>1</x:v>
      </x:c>
      <x:c r="Q337" s="29" t="str">
        <x:v>Ingen amorteringsrad redovisas på avin.</x:v>
      </x:c>
    </x:row>
    <x:row r="338">
      <x:c r="A338" s="24" t="n">
        <x:v>43922</x:v>
      </x:c>
      <x:c r="B338" s="25" t="str">
        <x:v>Bolån</x:v>
      </x:c>
      <x:c r="C338" s="25" t="str">
        <x:v>Stadshypotek AB</x:v>
      </x:c>
      <x:c r="D338" s="25" t="str">
        <x:v>02-279136</x:v>
      </x:c>
      <x:c r="E338" s="25" t="str">
        <x:v>821824</x:v>
      </x:c>
      <x:c r="F338" s="29" t="str">
        <x:v>HSB Brf Siljan i Stockholm, lgh 178</x:v>
      </x:c>
      <x:c r="G338" s="26" t="n">
        <x:v>160000</x:v>
      </x:c>
      <x:c r="H338" s="27" t="n">
        <x:v>0.025</x:v>
      </x:c>
      <x:c r="I338" s="24" t="n">
        <x:v>43891</x:v>
      </x:c>
      <x:c r="J338" s="28" t="n">
        <x:v>30</x:v>
      </x:c>
      <x:c r="K338" s="26" t="n">
        <x:v>333</x:v>
      </x:c>
      <x:c r="L338" s="26" t="n">
        <x:v>0</x:v>
      </x:c>
      <x:c r="M338" s="26" t="n">
        <x:v>0</x:v>
      </x:c>
      <x:c r="N338" s="26" t="n">
        <x:f>SUM(K338:M338)</x:f>
        <x:v>333</x:v>
      </x:c>
      <x:c r="O338" s="25" t="str">
        <x:v>2020-04-01_02-279136.pdf</x:v>
      </x:c>
      <x:c r="P338" s="28" t="n">
        <x:v>1</x:v>
      </x:c>
      <x:c r="Q338" s="29" t="str">
        <x:v>Ingen amorteringsrad redovisas på avin.</x:v>
      </x:c>
    </x:row>
    <x:row r="339">
      <x:c r="A339" s="24" t="n">
        <x:v>43952</x:v>
      </x:c>
      <x:c r="B339" s="25" t="str">
        <x:v>Bolån</x:v>
      </x:c>
      <x:c r="C339" s="25" t="str">
        <x:v>Stadshypotek AB</x:v>
      </x:c>
      <x:c r="D339" s="25" t="str">
        <x:v>02-279136</x:v>
      </x:c>
      <x:c r="E339" s="25" t="str">
        <x:v>821824</x:v>
      </x:c>
      <x:c r="F339" s="29" t="str">
        <x:v>HSB Brf Siljan i Stockholm, lgh 178</x:v>
      </x:c>
      <x:c r="G339" s="26" t="n">
        <x:v>160000</x:v>
      </x:c>
      <x:c r="H339" s="27" t="n">
        <x:v>0.025</x:v>
      </x:c>
      <x:c r="I339" s="24" t="n">
        <x:v>43922</x:v>
      </x:c>
      <x:c r="J339" s="28" t="n">
        <x:v>30</x:v>
      </x:c>
      <x:c r="K339" s="26" t="n">
        <x:v>333</x:v>
      </x:c>
      <x:c r="L339" s="26" t="n">
        <x:v>0</x:v>
      </x:c>
      <x:c r="M339" s="26" t="n">
        <x:v>0</x:v>
      </x:c>
      <x:c r="N339" s="26" t="n">
        <x:f>SUM(K339:M339)</x:f>
        <x:v>333</x:v>
      </x:c>
      <x:c r="O339" s="25" t="str">
        <x:v>2020-05-01_02-279136.pdf</x:v>
      </x:c>
      <x:c r="P339" s="28" t="n">
        <x:v>1</x:v>
      </x:c>
      <x:c r="Q339" s="29" t="str">
        <x:v>Ingen amorteringsrad redovisas på avin.</x:v>
      </x:c>
    </x:row>
    <x:row r="340">
      <x:c r="A340" s="24" t="n">
        <x:v>43983</x:v>
      </x:c>
      <x:c r="B340" s="25" t="str">
        <x:v>Bolån</x:v>
      </x:c>
      <x:c r="C340" s="25" t="str">
        <x:v>Stadshypotek AB</x:v>
      </x:c>
      <x:c r="D340" s="25" t="str">
        <x:v>02-279136</x:v>
      </x:c>
      <x:c r="E340" s="25" t="str">
        <x:v>821824</x:v>
      </x:c>
      <x:c r="F340" s="29" t="str">
        <x:v>HSB Brf Siljan i Stockholm, lgh 178</x:v>
      </x:c>
      <x:c r="G340" s="26" t="n">
        <x:v>160000</x:v>
      </x:c>
      <x:c r="H340" s="27" t="n">
        <x:v>0.025</x:v>
      </x:c>
      <x:c r="I340" s="24" t="n">
        <x:v>43952</x:v>
      </x:c>
      <x:c r="J340" s="28" t="n">
        <x:v>30</x:v>
      </x:c>
      <x:c r="K340" s="26" t="n">
        <x:v>333</x:v>
      </x:c>
      <x:c r="L340" s="26" t="n">
        <x:v>0</x:v>
      </x:c>
      <x:c r="M340" s="26" t="n">
        <x:v>0</x:v>
      </x:c>
      <x:c r="N340" s="26" t="n">
        <x:f>SUM(K340:M340)</x:f>
        <x:v>333</x:v>
      </x:c>
      <x:c r="O340" s="25" t="str">
        <x:v>2020-06-01_02-279136.pdf</x:v>
      </x:c>
      <x:c r="P340" s="28" t="n">
        <x:v>1</x:v>
      </x:c>
      <x:c r="Q340" s="29" t="str">
        <x:v>Ingen amorteringsrad redovisas på avin.</x:v>
      </x:c>
    </x:row>
    <x:row r="341">
      <x:c r="A341" s="24" t="n">
        <x:v>44013</x:v>
      </x:c>
      <x:c r="B341" s="25" t="str">
        <x:v>Bolån</x:v>
      </x:c>
      <x:c r="C341" s="25" t="str">
        <x:v>Stadshypotek AB</x:v>
      </x:c>
      <x:c r="D341" s="25" t="str">
        <x:v>02-279136</x:v>
      </x:c>
      <x:c r="E341" s="25" t="str">
        <x:v>821824</x:v>
      </x:c>
      <x:c r="F341" s="29" t="str">
        <x:v>HSB Brf Siljan i Stockholm, lgh 178</x:v>
      </x:c>
      <x:c r="G341" s="26" t="n">
        <x:v>160000</x:v>
      </x:c>
      <x:c r="H341" s="27" t="n">
        <x:v>0.025</x:v>
      </x:c>
      <x:c r="I341" s="24" t="n">
        <x:v>43983</x:v>
      </x:c>
      <x:c r="J341" s="28" t="n">
        <x:v>30</x:v>
      </x:c>
      <x:c r="K341" s="26" t="n">
        <x:v>333</x:v>
      </x:c>
      <x:c r="L341" s="26" t="n">
        <x:v>0</x:v>
      </x:c>
      <x:c r="M341" s="26" t="n">
        <x:v>0</x:v>
      </x:c>
      <x:c r="N341" s="26" t="n">
        <x:f>SUM(K341:M341)</x:f>
        <x:v>333</x:v>
      </x:c>
      <x:c r="O341" s="25" t="str">
        <x:v>2020-07-01_02-279136.pdf</x:v>
      </x:c>
      <x:c r="P341" s="28" t="n">
        <x:v>1</x:v>
      </x:c>
      <x:c r="Q341" s="29" t="str">
        <x:v>Ingen amorteringsrad redovisas på avin.</x:v>
      </x:c>
    </x:row>
    <x:row r="342">
      <x:c r="A342" s="24" t="n">
        <x:v>44044</x:v>
      </x:c>
      <x:c r="B342" s="25" t="str">
        <x:v>Bolån</x:v>
      </x:c>
      <x:c r="C342" s="25" t="str">
        <x:v>Stadshypotek AB</x:v>
      </x:c>
      <x:c r="D342" s="25" t="str">
        <x:v>02-279136</x:v>
      </x:c>
      <x:c r="E342" s="25" t="str">
        <x:v>821824</x:v>
      </x:c>
      <x:c r="F342" s="29" t="str">
        <x:v>HSB Brf Siljan i Stockholm, lgh 178</x:v>
      </x:c>
      <x:c r="G342" s="26" t="n">
        <x:v>160000</x:v>
      </x:c>
      <x:c r="H342" s="27" t="n">
        <x:v>0.025</x:v>
      </x:c>
      <x:c r="I342" s="24" t="n">
        <x:v>44013</x:v>
      </x:c>
      <x:c r="J342" s="28" t="n">
        <x:v>30</x:v>
      </x:c>
      <x:c r="K342" s="26" t="n">
        <x:v>333</x:v>
      </x:c>
      <x:c r="L342" s="26" t="n">
        <x:v>0</x:v>
      </x:c>
      <x:c r="M342" s="26" t="n">
        <x:v>0</x:v>
      </x:c>
      <x:c r="N342" s="26" t="n">
        <x:f>SUM(K342:M342)</x:f>
        <x:v>333</x:v>
      </x:c>
      <x:c r="O342" s="25" t="str">
        <x:v>2020-08-01_02-279136.pdf</x:v>
      </x:c>
      <x:c r="P342" s="28" t="n">
        <x:v>1</x:v>
      </x:c>
      <x:c r="Q342" s="29" t="str">
        <x:v>Ingen amorteringsrad redovisas på avin.</x:v>
      </x:c>
    </x:row>
    <x:row r="343">
      <x:c r="A343" s="24" t="n">
        <x:v>44075</x:v>
      </x:c>
      <x:c r="B343" s="25" t="str">
        <x:v>Bolån</x:v>
      </x:c>
      <x:c r="C343" s="25" t="str">
        <x:v>Stadshypotek AB</x:v>
      </x:c>
      <x:c r="D343" s="25" t="str">
        <x:v>02-279136</x:v>
      </x:c>
      <x:c r="E343" s="25" t="str">
        <x:v>821824</x:v>
      </x:c>
      <x:c r="F343" s="29" t="str">
        <x:v>HSB Brf Siljan i Stockholm, lgh 178</x:v>
      </x:c>
      <x:c r="G343" s="26" t="n">
        <x:v>160000</x:v>
      </x:c>
      <x:c r="H343" s="27" t="n">
        <x:v>0.025</x:v>
      </x:c>
      <x:c r="I343" s="24" t="n">
        <x:v>44044</x:v>
      </x:c>
      <x:c r="J343" s="28" t="n">
        <x:v>30</x:v>
      </x:c>
      <x:c r="K343" s="26" t="n">
        <x:v>333</x:v>
      </x:c>
      <x:c r="L343" s="26" t="n">
        <x:v>0</x:v>
      </x:c>
      <x:c r="M343" s="26" t="n">
        <x:v>0</x:v>
      </x:c>
      <x:c r="N343" s="26" t="n">
        <x:f>SUM(K343:M343)</x:f>
        <x:v>333</x:v>
      </x:c>
      <x:c r="O343" s="25" t="str">
        <x:v>2020-09-01_02-279136.pdf</x:v>
      </x:c>
      <x:c r="P343" s="28" t="n">
        <x:v>1</x:v>
      </x:c>
      <x:c r="Q343" s="29" t="str">
        <x:v>Ingen amorteringsrad redovisas på avin.</x:v>
      </x:c>
    </x:row>
    <x:row r="344">
      <x:c r="A344" s="24" t="n">
        <x:v>44105</x:v>
      </x:c>
      <x:c r="B344" s="25" t="str">
        <x:v>Bolån</x:v>
      </x:c>
      <x:c r="C344" s="25" t="str">
        <x:v>Stadshypotek AB</x:v>
      </x:c>
      <x:c r="D344" s="25" t="str">
        <x:v>02-279136</x:v>
      </x:c>
      <x:c r="E344" s="25" t="str">
        <x:v>821824</x:v>
      </x:c>
      <x:c r="F344" s="29" t="str">
        <x:v>HSB Brf Siljan i Stockholm, lgh 178</x:v>
      </x:c>
      <x:c r="G344" s="26" t="n">
        <x:v>160000</x:v>
      </x:c>
      <x:c r="H344" s="27" t="n">
        <x:v>0.024300000000000002</x:v>
      </x:c>
      <x:c r="I344" s="24" t="n">
        <x:v>44075</x:v>
      </x:c>
      <x:c r="J344" s="28" t="n">
        <x:v>30</x:v>
      </x:c>
      <x:c r="K344" s="26" t="n">
        <x:v>324</x:v>
      </x:c>
      <x:c r="L344" s="26" t="n">
        <x:v>0</x:v>
      </x:c>
      <x:c r="M344" s="26" t="n">
        <x:v>0</x:v>
      </x:c>
      <x:c r="N344" s="26" t="n">
        <x:f>SUM(K344:M344)</x:f>
        <x:v>324</x:v>
      </x:c>
      <x:c r="O344" s="25" t="str">
        <x:v>2020-10-01_02-279136.pdf</x:v>
      </x:c>
      <x:c r="P344" s="28" t="n">
        <x:v>1</x:v>
      </x:c>
      <x:c r="Q344" s="29" t="str">
        <x:v>Ingen amorteringsrad redovisas på avin.</x:v>
      </x:c>
    </x:row>
    <x:row r="345">
      <x:c r="A345" s="24" t="n">
        <x:v>44136</x:v>
      </x:c>
      <x:c r="B345" s="25" t="str">
        <x:v>Bolån</x:v>
      </x:c>
      <x:c r="C345" s="25" t="str">
        <x:v>Stadshypotek AB</x:v>
      </x:c>
      <x:c r="D345" s="25" t="str">
        <x:v>02-279136</x:v>
      </x:c>
      <x:c r="E345" s="25" t="str">
        <x:v>821824</x:v>
      </x:c>
      <x:c r="F345" s="29" t="str">
        <x:v>HSB Brf Siljan i Stockholm, lgh 178</x:v>
      </x:c>
      <x:c r="G345" s="26" t="n">
        <x:v>160000</x:v>
      </x:c>
      <x:c r="H345" s="27" t="n">
        <x:v>0.024300000000000002</x:v>
      </x:c>
      <x:c r="I345" s="24" t="n">
        <x:v>44105</x:v>
      </x:c>
      <x:c r="J345" s="28" t="n">
        <x:v>30</x:v>
      </x:c>
      <x:c r="K345" s="26" t="n">
        <x:v>324</x:v>
      </x:c>
      <x:c r="L345" s="26" t="n">
        <x:v>0</x:v>
      </x:c>
      <x:c r="M345" s="26" t="n">
        <x:v>0</x:v>
      </x:c>
      <x:c r="N345" s="26" t="n">
        <x:f>SUM(K345:M345)</x:f>
        <x:v>324</x:v>
      </x:c>
      <x:c r="O345" s="25" t="str">
        <x:v>2020-11-01_02-279136.pdf</x:v>
      </x:c>
      <x:c r="P345" s="28" t="n">
        <x:v>1</x:v>
      </x:c>
      <x:c r="Q345" s="29" t="str">
        <x:v>Ingen amorteringsrad redovisas på avin.</x:v>
      </x:c>
    </x:row>
    <x:row r="346">
      <x:c r="A346" s="24" t="n">
        <x:v>44166</x:v>
      </x:c>
      <x:c r="B346" s="25" t="str">
        <x:v>Bolån</x:v>
      </x:c>
      <x:c r="C346" s="25" t="str">
        <x:v>Stadshypotek AB</x:v>
      </x:c>
      <x:c r="D346" s="25" t="str">
        <x:v>02-279136</x:v>
      </x:c>
      <x:c r="E346" s="25" t="str">
        <x:v>821824</x:v>
      </x:c>
      <x:c r="F346" s="29" t="str">
        <x:v>HSB Brf Siljan i Stockholm, lgh 178</x:v>
      </x:c>
      <x:c r="G346" s="26" t="n">
        <x:v>160000</x:v>
      </x:c>
      <x:c r="H346" s="27" t="n">
        <x:v>0.024300000000000002</x:v>
      </x:c>
      <x:c r="I346" s="24" t="n">
        <x:v>44136</x:v>
      </x:c>
      <x:c r="J346" s="28" t="n">
        <x:v>30</x:v>
      </x:c>
      <x:c r="K346" s="26" t="n">
        <x:v>324</x:v>
      </x:c>
      <x:c r="L346" s="26" t="n">
        <x:v>0</x:v>
      </x:c>
      <x:c r="M346" s="26" t="n">
        <x:v>0</x:v>
      </x:c>
      <x:c r="N346" s="26" t="n">
        <x:f>SUM(K346:M346)</x:f>
        <x:v>324</x:v>
      </x:c>
      <x:c r="O346" s="25" t="str">
        <x:v>2020-12-01_02-279136.pdf</x:v>
      </x:c>
      <x:c r="P346" s="28" t="n">
        <x:v>1</x:v>
      </x:c>
      <x:c r="Q346" s="29" t="str">
        <x:v>Ingen amorteringsrad redovisas på avin.</x:v>
      </x:c>
    </x:row>
    <x:row r="347">
      <x:c r="A347" s="24" t="n">
        <x:v>44197</x:v>
      </x:c>
      <x:c r="B347" s="25" t="str">
        <x:v>Bolån</x:v>
      </x:c>
      <x:c r="C347" s="25" t="str">
        <x:v>Stadshypotek AB</x:v>
      </x:c>
      <x:c r="D347" s="25" t="str">
        <x:v>02-279136</x:v>
      </x:c>
      <x:c r="E347" s="25" t="str">
        <x:v>821824</x:v>
      </x:c>
      <x:c r="F347" s="29" t="str">
        <x:v>HSB Brf Siljan i Stockholm, lgh 178</x:v>
      </x:c>
      <x:c r="G347" s="26" t="n">
        <x:v>160000</x:v>
      </x:c>
      <x:c r="H347" s="27" t="n">
        <x:v>0.023399999999999997</x:v>
      </x:c>
      <x:c r="I347" s="24" t="n">
        <x:v>44166</x:v>
      </x:c>
      <x:c r="J347" s="28" t="n">
        <x:v>30</x:v>
      </x:c>
      <x:c r="K347" s="26" t="n">
        <x:v>312</x:v>
      </x:c>
      <x:c r="L347" s="26" t="n">
        <x:v>0</x:v>
      </x:c>
      <x:c r="M347" s="26" t="n">
        <x:v>0</x:v>
      </x:c>
      <x:c r="N347" s="26" t="n">
        <x:f>SUM(K347:M347)</x:f>
        <x:v>312</x:v>
      </x:c>
      <x:c r="O347" s="25" t="str">
        <x:v>2021-01-01_02-279136.pdf</x:v>
      </x:c>
      <x:c r="P347" s="28" t="n">
        <x:v>1</x:v>
      </x:c>
      <x:c r="Q347" s="29" t="str">
        <x:v>Ingen amorteringsrad redovisas på avin.</x:v>
      </x:c>
    </x:row>
    <x:row r="348">
      <x:c r="A348" s="24" t="n">
        <x:v>44228</x:v>
      </x:c>
      <x:c r="B348" s="25" t="str">
        <x:v>Bolån</x:v>
      </x:c>
      <x:c r="C348" s="25" t="str">
        <x:v>Stadshypotek AB</x:v>
      </x:c>
      <x:c r="D348" s="25" t="str">
        <x:v>02-279136</x:v>
      </x:c>
      <x:c r="E348" s="25" t="str">
        <x:v>821824</x:v>
      </x:c>
      <x:c r="F348" s="29" t="str">
        <x:v>HSB Brf Siljan i Stockholm, lgh 178</x:v>
      </x:c>
      <x:c r="G348" s="26" t="n">
        <x:v>160000</x:v>
      </x:c>
      <x:c r="H348" s="27" t="n">
        <x:v>0.023399999999999997</x:v>
      </x:c>
      <x:c r="I348" s="24" t="n">
        <x:v>44197</x:v>
      </x:c>
      <x:c r="J348" s="28" t="n">
        <x:v>30</x:v>
      </x:c>
      <x:c r="K348" s="26" t="n">
        <x:v>312</x:v>
      </x:c>
      <x:c r="L348" s="26" t="n">
        <x:v>0</x:v>
      </x:c>
      <x:c r="M348" s="26" t="n">
        <x:v>0</x:v>
      </x:c>
      <x:c r="N348" s="26" t="n">
        <x:f>SUM(K348:M348)</x:f>
        <x:v>312</x:v>
      </x:c>
      <x:c r="O348" s="25" t="str">
        <x:v>2021-02-01_02-279136.pdf</x:v>
      </x:c>
      <x:c r="P348" s="28" t="n">
        <x:v>1</x:v>
      </x:c>
      <x:c r="Q348" s="29" t="str">
        <x:v>Ingen amorteringsrad redovisas på avin.</x:v>
      </x:c>
    </x:row>
    <x:row r="349">
      <x:c r="A349" s="24" t="n">
        <x:v>44256</x:v>
      </x:c>
      <x:c r="B349" s="25" t="str">
        <x:v>Bolån</x:v>
      </x:c>
      <x:c r="C349" s="25" t="str">
        <x:v>Stadshypotek AB</x:v>
      </x:c>
      <x:c r="D349" s="25" t="str">
        <x:v>02-279136</x:v>
      </x:c>
      <x:c r="E349" s="25" t="str">
        <x:v>821824</x:v>
      </x:c>
      <x:c r="F349" s="29" t="str">
        <x:v>HSB Brf Siljan i Stockholm, lgh 178</x:v>
      </x:c>
      <x:c r="G349" s="26" t="n">
        <x:v>160000</x:v>
      </x:c>
      <x:c r="H349" s="27" t="n">
        <x:v>0.023399999999999997</x:v>
      </x:c>
      <x:c r="I349" s="24" t="n">
        <x:v>44228</x:v>
      </x:c>
      <x:c r="J349" s="28" t="n">
        <x:v>30</x:v>
      </x:c>
      <x:c r="K349" s="26" t="n">
        <x:v>312</x:v>
      </x:c>
      <x:c r="L349" s="26" t="n">
        <x:v>0</x:v>
      </x:c>
      <x:c r="M349" s="26" t="n">
        <x:v>0</x:v>
      </x:c>
      <x:c r="N349" s="26" t="n">
        <x:f>SUM(K349:M349)</x:f>
        <x:v>312</x:v>
      </x:c>
      <x:c r="O349" s="25" t="str">
        <x:v>2021-03-01_02-279136.pdf</x:v>
      </x:c>
      <x:c r="P349" s="28" t="n">
        <x:v>1</x:v>
      </x:c>
      <x:c r="Q349" s="29" t="str">
        <x:v>Ingen amorteringsrad redovisas på avin.</x:v>
      </x:c>
    </x:row>
    <x:row r="350">
      <x:c r="A350" s="24" t="n">
        <x:v>44287</x:v>
      </x:c>
      <x:c r="B350" s="25" t="str">
        <x:v>Bolån</x:v>
      </x:c>
      <x:c r="C350" s="25" t="str">
        <x:v>Stadshypotek AB</x:v>
      </x:c>
      <x:c r="D350" s="25" t="str">
        <x:v>02-279136</x:v>
      </x:c>
      <x:c r="E350" s="25" t="str">
        <x:v>821824</x:v>
      </x:c>
      <x:c r="F350" s="29" t="str">
        <x:v>HSB Brf Siljan i Stockholm, lgh 178</x:v>
      </x:c>
      <x:c r="G350" s="26" t="n">
        <x:v>160000</x:v>
      </x:c>
      <x:c r="H350" s="27" t="n">
        <x:v>0.023399999999999997</x:v>
      </x:c>
      <x:c r="I350" s="24" t="n">
        <x:v>44256</x:v>
      </x:c>
      <x:c r="J350" s="28" t="n">
        <x:v>30</x:v>
      </x:c>
      <x:c r="K350" s="26" t="n">
        <x:v>312</x:v>
      </x:c>
      <x:c r="L350" s="26" t="n">
        <x:v>0</x:v>
      </x:c>
      <x:c r="M350" s="26" t="n">
        <x:v>0</x:v>
      </x:c>
      <x:c r="N350" s="26" t="n">
        <x:f>SUM(K350:M350)</x:f>
        <x:v>312</x:v>
      </x:c>
      <x:c r="O350" s="25" t="str">
        <x:v>2021-04-01_02-279136.pdf</x:v>
      </x:c>
      <x:c r="P350" s="28" t="n">
        <x:v>1</x:v>
      </x:c>
      <x:c r="Q350" s="29" t="str">
        <x:v>Ingen amorteringsrad redovisas på avin.</x:v>
      </x:c>
    </x:row>
    <x:row r="351">
      <x:c r="A351" s="24" t="n">
        <x:v>44317</x:v>
      </x:c>
      <x:c r="B351" s="25" t="str">
        <x:v>Bolån</x:v>
      </x:c>
      <x:c r="C351" s="25" t="str">
        <x:v>Stadshypotek AB</x:v>
      </x:c>
      <x:c r="D351" s="25" t="str">
        <x:v>02-279136</x:v>
      </x:c>
      <x:c r="E351" s="25" t="str">
        <x:v>821824</x:v>
      </x:c>
      <x:c r="F351" s="29" t="str">
        <x:v>HSB Brf Siljan i Stockholm, lgh 178</x:v>
      </x:c>
      <x:c r="G351" s="26" t="n">
        <x:v>160000</x:v>
      </x:c>
      <x:c r="H351" s="27" t="n">
        <x:v>0.023399999999999997</x:v>
      </x:c>
      <x:c r="I351" s="24" t="n">
        <x:v>44287</x:v>
      </x:c>
      <x:c r="J351" s="28" t="n">
        <x:v>30</x:v>
      </x:c>
      <x:c r="K351" s="26" t="n">
        <x:v>312</x:v>
      </x:c>
      <x:c r="L351" s="26" t="n">
        <x:v>0</x:v>
      </x:c>
      <x:c r="M351" s="26" t="n">
        <x:v>0</x:v>
      </x:c>
      <x:c r="N351" s="26" t="n">
        <x:f>SUM(K351:M351)</x:f>
        <x:v>312</x:v>
      </x:c>
      <x:c r="O351" s="25" t="str">
        <x:v>2021-05-01_02-279136.pdf</x:v>
      </x:c>
      <x:c r="P351" s="28" t="n">
        <x:v>1</x:v>
      </x:c>
      <x:c r="Q351" s="29" t="str">
        <x:v>Ingen amorteringsrad redovisas på avin.</x:v>
      </x:c>
    </x:row>
    <x:row r="352">
      <x:c r="A352" s="24" t="n">
        <x:v>44348</x:v>
      </x:c>
      <x:c r="B352" s="25" t="str">
        <x:v>Bolån</x:v>
      </x:c>
      <x:c r="C352" s="25" t="str">
        <x:v>Stadshypotek AB</x:v>
      </x:c>
      <x:c r="D352" s="25" t="str">
        <x:v>02-279136</x:v>
      </x:c>
      <x:c r="E352" s="25" t="str">
        <x:v>821824</x:v>
      </x:c>
      <x:c r="F352" s="29" t="str">
        <x:v>HSB Brf Siljan i Stockholm, lgh 178</x:v>
      </x:c>
      <x:c r="G352" s="26" t="n">
        <x:v>160000</x:v>
      </x:c>
      <x:c r="H352" s="27" t="n">
        <x:v>0.023399999999999997</x:v>
      </x:c>
      <x:c r="I352" s="24" t="n">
        <x:v>44317</x:v>
      </x:c>
      <x:c r="J352" s="28" t="n">
        <x:v>30</x:v>
      </x:c>
      <x:c r="K352" s="26" t="n">
        <x:v>312</x:v>
      </x:c>
      <x:c r="L352" s="26" t="n">
        <x:v>0</x:v>
      </x:c>
      <x:c r="M352" s="26" t="n">
        <x:v>0</x:v>
      </x:c>
      <x:c r="N352" s="26" t="n">
        <x:f>SUM(K352:M352)</x:f>
        <x:v>312</x:v>
      </x:c>
      <x:c r="O352" s="25" t="str">
        <x:v>2021-06-01_02-279136.pdf</x:v>
      </x:c>
      <x:c r="P352" s="28" t="n">
        <x:v>1</x:v>
      </x:c>
      <x:c r="Q352" s="29" t="str">
        <x:v>Ingen amorteringsrad redovisas på avin.</x:v>
      </x:c>
    </x:row>
    <x:row r="353">
      <x:c r="A353" s="24" t="n">
        <x:v>44378</x:v>
      </x:c>
      <x:c r="B353" s="25" t="str">
        <x:v>Bolån</x:v>
      </x:c>
      <x:c r="C353" s="25" t="str">
        <x:v>Stadshypotek AB</x:v>
      </x:c>
      <x:c r="D353" s="25" t="str">
        <x:v>02-279136</x:v>
      </x:c>
      <x:c r="E353" s="25" t="str">
        <x:v>821824</x:v>
      </x:c>
      <x:c r="F353" s="29" t="str">
        <x:v>HSB Brf Siljan i Stockholm, lgh 178</x:v>
      </x:c>
      <x:c r="G353" s="26" t="n">
        <x:v>160000</x:v>
      </x:c>
      <x:c r="H353" s="27" t="n">
        <x:v>0.023399999999999997</x:v>
      </x:c>
      <x:c r="I353" s="24" t="n">
        <x:v>44348</x:v>
      </x:c>
      <x:c r="J353" s="28" t="n">
        <x:v>30</x:v>
      </x:c>
      <x:c r="K353" s="26" t="n">
        <x:v>312</x:v>
      </x:c>
      <x:c r="L353" s="26" t="n">
        <x:v>0</x:v>
      </x:c>
      <x:c r="M353" s="26" t="n">
        <x:v>0</x:v>
      </x:c>
      <x:c r="N353" s="26" t="n">
        <x:f>SUM(K353:M353)</x:f>
        <x:v>312</x:v>
      </x:c>
      <x:c r="O353" s="25" t="str">
        <x:v>2021-07-01_02-279136.pdf</x:v>
      </x:c>
      <x:c r="P353" s="28" t="n">
        <x:v>1</x:v>
      </x:c>
      <x:c r="Q353" s="29" t="str">
        <x:v>Ingen amorteringsrad redovisas på avin.</x:v>
      </x:c>
    </x:row>
    <x:row r="354">
      <x:c r="A354" s="24" t="n">
        <x:v>44409</x:v>
      </x:c>
      <x:c r="B354" s="25" t="str">
        <x:v>Bolån</x:v>
      </x:c>
      <x:c r="C354" s="25" t="str">
        <x:v>Stadshypotek AB</x:v>
      </x:c>
      <x:c r="D354" s="25" t="str">
        <x:v>02-279136</x:v>
      </x:c>
      <x:c r="E354" s="25" t="str">
        <x:v>821824</x:v>
      </x:c>
      <x:c r="F354" s="29" t="str">
        <x:v>HSB Brf Siljan i Stockholm, lgh 178</x:v>
      </x:c>
      <x:c r="G354" s="26" t="n">
        <x:v>160000</x:v>
      </x:c>
      <x:c r="H354" s="27" t="n">
        <x:v>0.023399999999999997</x:v>
      </x:c>
      <x:c r="I354" s="24" t="n">
        <x:v>44378</x:v>
      </x:c>
      <x:c r="J354" s="28" t="n">
        <x:v>30</x:v>
      </x:c>
      <x:c r="K354" s="26" t="n">
        <x:v>312</x:v>
      </x:c>
      <x:c r="L354" s="26" t="n">
        <x:v>0</x:v>
      </x:c>
      <x:c r="M354" s="26" t="n">
        <x:v>0</x:v>
      </x:c>
      <x:c r="N354" s="26" t="n">
        <x:f>SUM(K354:M354)</x:f>
        <x:v>312</x:v>
      </x:c>
      <x:c r="O354" s="25" t="str">
        <x:v>2021-08-01_02-279136.pdf</x:v>
      </x:c>
      <x:c r="P354" s="28" t="n">
        <x:v>1</x:v>
      </x:c>
      <x:c r="Q354" s="29" t="str">
        <x:v>Ingen amorteringsrad redovisas på avin.</x:v>
      </x:c>
    </x:row>
    <x:row r="355">
      <x:c r="A355" s="24" t="n">
        <x:v>44440</x:v>
      </x:c>
      <x:c r="B355" s="25" t="str">
        <x:v>Bolån</x:v>
      </x:c>
      <x:c r="C355" s="25" t="str">
        <x:v>Stadshypotek AB</x:v>
      </x:c>
      <x:c r="D355" s="25" t="str">
        <x:v>02-279136</x:v>
      </x:c>
      <x:c r="E355" s="25" t="str">
        <x:v>821824</x:v>
      </x:c>
      <x:c r="F355" s="29" t="str">
        <x:v>HSB Brf Siljan i Stockholm, lgh 178</x:v>
      </x:c>
      <x:c r="G355" s="26" t="n">
        <x:v>160000</x:v>
      </x:c>
      <x:c r="H355" s="27" t="n">
        <x:v>0.023399999999999997</x:v>
      </x:c>
      <x:c r="I355" s="24" t="n">
        <x:v>44409</x:v>
      </x:c>
      <x:c r="J355" s="28" t="n">
        <x:v>30</x:v>
      </x:c>
      <x:c r="K355" s="26" t="n">
        <x:v>312</x:v>
      </x:c>
      <x:c r="L355" s="26" t="n">
        <x:v>0</x:v>
      </x:c>
      <x:c r="M355" s="26" t="n">
        <x:v>0</x:v>
      </x:c>
      <x:c r="N355" s="26" t="n">
        <x:f>SUM(K355:M355)</x:f>
        <x:v>312</x:v>
      </x:c>
      <x:c r="O355" s="25" t="str">
        <x:v>2021-09-01_02-279136.pdf</x:v>
      </x:c>
      <x:c r="P355" s="28" t="n">
        <x:v>1</x:v>
      </x:c>
      <x:c r="Q355" s="29" t="str">
        <x:v>Ingen amorteringsrad redovisas på avin.</x:v>
      </x:c>
    </x:row>
    <x:row r="356">
      <x:c r="A356" s="24" t="n">
        <x:v>44470</x:v>
      </x:c>
      <x:c r="B356" s="25" t="str">
        <x:v>Bolån</x:v>
      </x:c>
      <x:c r="C356" s="25" t="str">
        <x:v>Stadshypotek AB</x:v>
      </x:c>
      <x:c r="D356" s="25" t="str">
        <x:v>02-279136</x:v>
      </x:c>
      <x:c r="E356" s="25" t="str">
        <x:v>821824</x:v>
      </x:c>
      <x:c r="F356" s="29" t="str">
        <x:v>HSB Brf Siljan i Stockholm, lgh 178</x:v>
      </x:c>
      <x:c r="G356" s="26" t="n">
        <x:v>160000</x:v>
      </x:c>
      <x:c r="H356" s="27" t="n">
        <x:v>0.023399999999999997</x:v>
      </x:c>
      <x:c r="I356" s="24" t="n">
        <x:v>44440</x:v>
      </x:c>
      <x:c r="J356" s="28" t="n">
        <x:v>30</x:v>
      </x:c>
      <x:c r="K356" s="26" t="n">
        <x:v>312</x:v>
      </x:c>
      <x:c r="L356" s="26" t="n">
        <x:v>0</x:v>
      </x:c>
      <x:c r="M356" s="26" t="n">
        <x:v>0</x:v>
      </x:c>
      <x:c r="N356" s="26" t="n">
        <x:f>SUM(K356:M356)</x:f>
        <x:v>312</x:v>
      </x:c>
      <x:c r="O356" s="25" t="str">
        <x:v>2021-10-01_02-279136.pdf</x:v>
      </x:c>
      <x:c r="P356" s="28" t="n">
        <x:v>1</x:v>
      </x:c>
      <x:c r="Q356" s="29" t="str">
        <x:v>Ingen amorteringsrad redovisas på avin.</x:v>
      </x:c>
    </x:row>
    <x:row r="357">
      <x:c r="A357" s="24" t="n">
        <x:v>44501</x:v>
      </x:c>
      <x:c r="B357" s="25" t="str">
        <x:v>Bolån</x:v>
      </x:c>
      <x:c r="C357" s="25" t="str">
        <x:v>Stadshypotek AB</x:v>
      </x:c>
      <x:c r="D357" s="25" t="str">
        <x:v>02-279136</x:v>
      </x:c>
      <x:c r="E357" s="25" t="str">
        <x:v>821824</x:v>
      </x:c>
      <x:c r="F357" s="29" t="str">
        <x:v>HSB Brf Siljan i Stockholm, lgh 178</x:v>
      </x:c>
      <x:c r="G357" s="26" t="n">
        <x:v>160000</x:v>
      </x:c>
      <x:c r="H357" s="27" t="n">
        <x:v>0.023399999999999997</x:v>
      </x:c>
      <x:c r="I357" s="24" t="n">
        <x:v>44470</x:v>
      </x:c>
      <x:c r="J357" s="28" t="n">
        <x:v>30</x:v>
      </x:c>
      <x:c r="K357" s="26" t="n">
        <x:v>312</x:v>
      </x:c>
      <x:c r="L357" s="26" t="n">
        <x:v>0</x:v>
      </x:c>
      <x:c r="M357" s="26" t="n">
        <x:v>0</x:v>
      </x:c>
      <x:c r="N357" s="26" t="n">
        <x:f>SUM(K357:M357)</x:f>
        <x:v>312</x:v>
      </x:c>
      <x:c r="O357" s="25" t="str">
        <x:v>2021-11-01_02-279136.pdf</x:v>
      </x:c>
      <x:c r="P357" s="28" t="n">
        <x:v>1</x:v>
      </x:c>
      <x:c r="Q357" s="29" t="str">
        <x:v>Ingen amorteringsrad redovisas på avin.</x:v>
      </x:c>
    </x:row>
    <x:row r="358">
      <x:c r="A358" s="24" t="n">
        <x:v>44531</x:v>
      </x:c>
      <x:c r="B358" s="25" t="str">
        <x:v>Bolån</x:v>
      </x:c>
      <x:c r="C358" s="25" t="str">
        <x:v>Stadshypotek AB</x:v>
      </x:c>
      <x:c r="D358" s="25" t="str">
        <x:v>02-279136</x:v>
      </x:c>
      <x:c r="E358" s="25" t="str">
        <x:v>821824</x:v>
      </x:c>
      <x:c r="F358" s="29" t="str">
        <x:v>HSB Brf Siljan i Stockholm, lgh 178</x:v>
      </x:c>
      <x:c r="G358" s="26" t="n">
        <x:v>160000</x:v>
      </x:c>
      <x:c r="H358" s="27" t="n">
        <x:v>0.023399999999999997</x:v>
      </x:c>
      <x:c r="I358" s="24" t="n">
        <x:v>44501</x:v>
      </x:c>
      <x:c r="J358" s="28" t="n">
        <x:v>30</x:v>
      </x:c>
      <x:c r="K358" s="26" t="n">
        <x:v>312</x:v>
      </x:c>
      <x:c r="L358" s="26" t="n">
        <x:v>0</x:v>
      </x:c>
      <x:c r="M358" s="26" t="n">
        <x:v>0</x:v>
      </x:c>
      <x:c r="N358" s="26" t="n">
        <x:f>SUM(K358:M358)</x:f>
        <x:v>312</x:v>
      </x:c>
      <x:c r="O358" s="25" t="str">
        <x:v>2021-12-01_02-279136.pdf</x:v>
      </x:c>
      <x:c r="P358" s="28" t="n">
        <x:v>1</x:v>
      </x:c>
      <x:c r="Q358" s="29" t="str">
        <x:v>Ingen amorteringsrad redovisas på avin.</x:v>
      </x:c>
    </x:row>
    <x:row r="359">
      <x:c r="A359" s="24" t="n">
        <x:v>44562</x:v>
      </x:c>
      <x:c r="B359" s="25" t="str">
        <x:v>Bolån</x:v>
      </x:c>
      <x:c r="C359" s="25" t="str">
        <x:v>Stadshypotek AB</x:v>
      </x:c>
      <x:c r="D359" s="25" t="str">
        <x:v>02-279136</x:v>
      </x:c>
      <x:c r="E359" s="25" t="str">
        <x:v>821824</x:v>
      </x:c>
      <x:c r="F359" s="29" t="str">
        <x:v>HSB Brf Siljan i Stockholm, lgh 178</x:v>
      </x:c>
      <x:c r="G359" s="26" t="n">
        <x:v>160000</x:v>
      </x:c>
      <x:c r="H359" s="27" t="n">
        <x:v>0.023399999999999997</x:v>
      </x:c>
      <x:c r="I359" s="24" t="n">
        <x:v>44531</x:v>
      </x:c>
      <x:c r="J359" s="28" t="n">
        <x:v>30</x:v>
      </x:c>
      <x:c r="K359" s="26" t="n">
        <x:v>312</x:v>
      </x:c>
      <x:c r="L359" s="26" t="n">
        <x:v>0</x:v>
      </x:c>
      <x:c r="M359" s="26" t="n">
        <x:v>0</x:v>
      </x:c>
      <x:c r="N359" s="26" t="n">
        <x:f>SUM(K359:M359)</x:f>
        <x:v>312</x:v>
      </x:c>
      <x:c r="O359" s="25" t="str">
        <x:v>2022-01-01_02-279136.pdf</x:v>
      </x:c>
      <x:c r="P359" s="28" t="n">
        <x:v>1</x:v>
      </x:c>
      <x:c r="Q359" s="29" t="str">
        <x:v>Ingen amorteringsrad redovisas på avin.</x:v>
      </x:c>
    </x:row>
    <x:row r="360">
      <x:c r="A360" s="24" t="n">
        <x:v>44593</x:v>
      </x:c>
      <x:c r="B360" s="25" t="str">
        <x:v>Bolån</x:v>
      </x:c>
      <x:c r="C360" s="25" t="str">
        <x:v>Stadshypotek AB</x:v>
      </x:c>
      <x:c r="D360" s="25" t="str">
        <x:v>02-279136</x:v>
      </x:c>
      <x:c r="E360" s="25" t="str">
        <x:v>821824</x:v>
      </x:c>
      <x:c r="F360" s="29" t="str">
        <x:v>HSB Brf Siljan i Stockholm, lgh 178</x:v>
      </x:c>
      <x:c r="G360" s="26" t="n">
        <x:v>160000</x:v>
      </x:c>
      <x:c r="H360" s="27" t="n">
        <x:v>0.023399999999999997</x:v>
      </x:c>
      <x:c r="I360" s="24" t="n">
        <x:v>44562</x:v>
      </x:c>
      <x:c r="J360" s="28" t="n">
        <x:v>30</x:v>
      </x:c>
      <x:c r="K360" s="26" t="n">
        <x:v>312</x:v>
      </x:c>
      <x:c r="L360" s="26" t="n">
        <x:v>0</x:v>
      </x:c>
      <x:c r="M360" s="26" t="n">
        <x:v>0</x:v>
      </x:c>
      <x:c r="N360" s="26" t="n">
        <x:f>SUM(K360:M360)</x:f>
        <x:v>312</x:v>
      </x:c>
      <x:c r="O360" s="25" t="str">
        <x:v>2022-02-01_02-279136.pdf</x:v>
      </x:c>
      <x:c r="P360" s="28" t="n">
        <x:v>1</x:v>
      </x:c>
      <x:c r="Q360" s="29" t="str">
        <x:v>Ingen amorteringsrad redovisas på avin.</x:v>
      </x:c>
    </x:row>
    <x:row r="361">
      <x:c r="A361" s="24" t="n">
        <x:v>44621</x:v>
      </x:c>
      <x:c r="B361" s="25" t="str">
        <x:v>Bolån</x:v>
      </x:c>
      <x:c r="C361" s="25" t="str">
        <x:v>Stadshypotek AB</x:v>
      </x:c>
      <x:c r="D361" s="25" t="str">
        <x:v>02-279136</x:v>
      </x:c>
      <x:c r="E361" s="25" t="str">
        <x:v>821824</x:v>
      </x:c>
      <x:c r="F361" s="29" t="str">
        <x:v>HSB Brf Siljan i Stockholm, lgh 178</x:v>
      </x:c>
      <x:c r="G361" s="26" t="n">
        <x:v>160000</x:v>
      </x:c>
      <x:c r="H361" s="27" t="n">
        <x:v>0.023399999999999997</x:v>
      </x:c>
      <x:c r="I361" s="24" t="n">
        <x:v>44593</x:v>
      </x:c>
      <x:c r="J361" s="28" t="n">
        <x:v>30</x:v>
      </x:c>
      <x:c r="K361" s="26" t="n">
        <x:v>312</x:v>
      </x:c>
      <x:c r="L361" s="26" t="n">
        <x:v>0</x:v>
      </x:c>
      <x:c r="M361" s="26" t="n">
        <x:v>0</x:v>
      </x:c>
      <x:c r="N361" s="26" t="n">
        <x:f>SUM(K361:M361)</x:f>
        <x:v>312</x:v>
      </x:c>
      <x:c r="O361" s="25" t="str">
        <x:v>2022-03-01_02-279136.pdf</x:v>
      </x:c>
      <x:c r="P361" s="28" t="n">
        <x:v>1</x:v>
      </x:c>
      <x:c r="Q361" s="29" t="str">
        <x:v>Ingen amorteringsrad redovisas på avin.</x:v>
      </x:c>
    </x:row>
    <x:row r="362">
      <x:c r="A362" s="24" t="n">
        <x:v>44652</x:v>
      </x:c>
      <x:c r="B362" s="25" t="str">
        <x:v>Bolån</x:v>
      </x:c>
      <x:c r="C362" s="25" t="str">
        <x:v>Stadshypotek AB</x:v>
      </x:c>
      <x:c r="D362" s="25" t="str">
        <x:v>02-279136</x:v>
      </x:c>
      <x:c r="E362" s="25" t="str">
        <x:v>821824</x:v>
      </x:c>
      <x:c r="F362" s="29" t="str">
        <x:v>HSB Brf Siljan i Stockholm, lgh 178</x:v>
      </x:c>
      <x:c r="G362" s="26" t="n">
        <x:v>160000</x:v>
      </x:c>
      <x:c r="H362" s="27" t="n">
        <x:v>0.0239</x:v>
      </x:c>
      <x:c r="I362" s="24" t="n">
        <x:v>44621</x:v>
      </x:c>
      <x:c r="J362" s="28" t="n">
        <x:v>30</x:v>
      </x:c>
      <x:c r="K362" s="26" t="n">
        <x:v>319</x:v>
      </x:c>
      <x:c r="L362" s="26" t="n">
        <x:v>0</x:v>
      </x:c>
      <x:c r="M362" s="26" t="n">
        <x:v>0</x:v>
      </x:c>
      <x:c r="N362" s="26" t="n">
        <x:f>SUM(K362:M362)</x:f>
        <x:v>319</x:v>
      </x:c>
      <x:c r="O362" s="25" t="str">
        <x:v>2022-04-01_02-279136.pdf</x:v>
      </x:c>
      <x:c r="P362" s="28" t="n">
        <x:v>1</x:v>
      </x:c>
      <x:c r="Q362" s="29" t="str">
        <x:v>Ingen amorteringsrad redovisas på avin.</x:v>
      </x:c>
    </x:row>
    <x:row r="363">
      <x:c r="A363" s="24" t="n">
        <x:v>44682</x:v>
      </x:c>
      <x:c r="B363" s="25" t="str">
        <x:v>Bolån</x:v>
      </x:c>
      <x:c r="C363" s="25" t="str">
        <x:v>Stadshypotek AB</x:v>
      </x:c>
      <x:c r="D363" s="25" t="str">
        <x:v>02-279136</x:v>
      </x:c>
      <x:c r="E363" s="25" t="str">
        <x:v>821824</x:v>
      </x:c>
      <x:c r="F363" s="29" t="str">
        <x:v>HSB Brf Siljan i Stockholm, lgh 178</x:v>
      </x:c>
      <x:c r="G363" s="26" t="n">
        <x:v>160000</x:v>
      </x:c>
      <x:c r="H363" s="27" t="n">
        <x:v>0.0239</x:v>
      </x:c>
      <x:c r="I363" s="24" t="n">
        <x:v>44652</x:v>
      </x:c>
      <x:c r="J363" s="28" t="n">
        <x:v>30</x:v>
      </x:c>
      <x:c r="K363" s="26" t="n">
        <x:v>319</x:v>
      </x:c>
      <x:c r="L363" s="26" t="n">
        <x:v>0</x:v>
      </x:c>
      <x:c r="M363" s="26" t="n">
        <x:v>0</x:v>
      </x:c>
      <x:c r="N363" s="26" t="n">
        <x:f>SUM(K363:M363)</x:f>
        <x:v>319</x:v>
      </x:c>
      <x:c r="O363" s="25" t="str">
        <x:v>2022-05-01_02-279136.pdf</x:v>
      </x:c>
      <x:c r="P363" s="28" t="n">
        <x:v>1</x:v>
      </x:c>
      <x:c r="Q363" s="29" t="str">
        <x:v>Ingen amorteringsrad redovisas på avin.</x:v>
      </x:c>
    </x:row>
    <x:row r="364">
      <x:c r="A364" s="24" t="n">
        <x:v>44713</x:v>
      </x:c>
      <x:c r="B364" s="25" t="str">
        <x:v>Bolån</x:v>
      </x:c>
      <x:c r="C364" s="25" t="str">
        <x:v>Stadshypotek AB</x:v>
      </x:c>
      <x:c r="D364" s="25" t="str">
        <x:v>02-279136</x:v>
      </x:c>
      <x:c r="E364" s="25" t="str">
        <x:v>821824</x:v>
      </x:c>
      <x:c r="F364" s="29" t="str">
        <x:v>HSB Brf Siljan i Stockholm, lgh 178</x:v>
      </x:c>
      <x:c r="G364" s="26" t="n">
        <x:v>160000</x:v>
      </x:c>
      <x:c r="H364" s="27" t="n">
        <x:v>0.0239</x:v>
      </x:c>
      <x:c r="I364" s="24" t="n">
        <x:v>44682</x:v>
      </x:c>
      <x:c r="J364" s="28" t="n">
        <x:v>30</x:v>
      </x:c>
      <x:c r="K364" s="26" t="n">
        <x:v>319</x:v>
      </x:c>
      <x:c r="L364" s="26" t="n">
        <x:v>0</x:v>
      </x:c>
      <x:c r="M364" s="26" t="n">
        <x:v>0</x:v>
      </x:c>
      <x:c r="N364" s="26" t="n">
        <x:f>SUM(K364:M364)</x:f>
        <x:v>319</x:v>
      </x:c>
      <x:c r="O364" s="25" t="str">
        <x:v>2022-06-01_02-279136.pdf</x:v>
      </x:c>
      <x:c r="P364" s="28" t="n">
        <x:v>1</x:v>
      </x:c>
      <x:c r="Q364" s="29" t="str">
        <x:v>Ingen amorteringsrad redovisas på avin.</x:v>
      </x:c>
    </x:row>
    <x:row r="365">
      <x:c r="A365" s="24" t="n">
        <x:v>44743</x:v>
      </x:c>
      <x:c r="B365" s="25" t="str">
        <x:v>Bolån</x:v>
      </x:c>
      <x:c r="C365" s="25" t="str">
        <x:v>Stadshypotek AB</x:v>
      </x:c>
      <x:c r="D365" s="25" t="str">
        <x:v>02-279136</x:v>
      </x:c>
      <x:c r="E365" s="25" t="str">
        <x:v>821824</x:v>
      </x:c>
      <x:c r="F365" s="29" t="str">
        <x:v>HSB Brf Siljan i Stockholm, lgh 178</x:v>
      </x:c>
      <x:c r="G365" s="26" t="n">
        <x:v>160000</x:v>
      </x:c>
      <x:c r="H365" s="27" t="n">
        <x:v>0.0269</x:v>
      </x:c>
      <x:c r="I365" s="24" t="n">
        <x:v>44713</x:v>
      </x:c>
      <x:c r="J365" s="28" t="n">
        <x:v>30</x:v>
      </x:c>
      <x:c r="K365" s="26" t="n">
        <x:v>359</x:v>
      </x:c>
      <x:c r="L365" s="26" t="n">
        <x:v>0</x:v>
      </x:c>
      <x:c r="M365" s="26" t="n">
        <x:v>0</x:v>
      </x:c>
      <x:c r="N365" s="26" t="n">
        <x:f>SUM(K365:M365)</x:f>
        <x:v>359</x:v>
      </x:c>
      <x:c r="O365" s="25" t="str">
        <x:v>2022-07-01_02-279136.pdf</x:v>
      </x:c>
      <x:c r="P365" s="28" t="n">
        <x:v>1</x:v>
      </x:c>
      <x:c r="Q365" s="29" t="str">
        <x:v>Ingen amorteringsrad redovisas på avin.</x:v>
      </x:c>
    </x:row>
    <x:row r="366">
      <x:c r="A366" s="24" t="n">
        <x:v>44774</x:v>
      </x:c>
      <x:c r="B366" s="25" t="str">
        <x:v>Bolån</x:v>
      </x:c>
      <x:c r="C366" s="25" t="str">
        <x:v>Stadshypotek AB</x:v>
      </x:c>
      <x:c r="D366" s="25" t="str">
        <x:v>02-279136</x:v>
      </x:c>
      <x:c r="E366" s="25" t="str">
        <x:v>821824</x:v>
      </x:c>
      <x:c r="F366" s="29" t="str">
        <x:v>HSB Brf Siljan i Stockholm, lgh 178</x:v>
      </x:c>
      <x:c r="G366" s="26" t="n">
        <x:v>160000</x:v>
      </x:c>
      <x:c r="H366" s="27" t="n">
        <x:v>0.0269</x:v>
      </x:c>
      <x:c r="I366" s="24" t="n">
        <x:v>44743</x:v>
      </x:c>
      <x:c r="J366" s="28" t="n">
        <x:v>30</x:v>
      </x:c>
      <x:c r="K366" s="26" t="n">
        <x:v>359</x:v>
      </x:c>
      <x:c r="L366" s="26" t="n">
        <x:v>0</x:v>
      </x:c>
      <x:c r="M366" s="26" t="n">
        <x:v>0</x:v>
      </x:c>
      <x:c r="N366" s="26" t="n">
        <x:f>SUM(K366:M366)</x:f>
        <x:v>359</x:v>
      </x:c>
      <x:c r="O366" s="25" t="str">
        <x:v>2022-08-01_02-279136.pdf</x:v>
      </x:c>
      <x:c r="P366" s="28" t="n">
        <x:v>1</x:v>
      </x:c>
      <x:c r="Q366" s="29" t="str">
        <x:v>Ingen amorteringsrad redovisas på avin.</x:v>
      </x:c>
    </x:row>
    <x:row r="367">
      <x:c r="A367" s="24" t="n">
        <x:v>44805</x:v>
      </x:c>
      <x:c r="B367" s="25" t="str">
        <x:v>Bolån</x:v>
      </x:c>
      <x:c r="C367" s="25" t="str">
        <x:v>Stadshypotek AB</x:v>
      </x:c>
      <x:c r="D367" s="25" t="str">
        <x:v>02-279136</x:v>
      </x:c>
      <x:c r="E367" s="25" t="str">
        <x:v>821824</x:v>
      </x:c>
      <x:c r="F367" s="29" t="str">
        <x:v>HSB Brf Siljan i Stockholm, lgh 178</x:v>
      </x:c>
      <x:c r="G367" s="26" t="n">
        <x:v>160000</x:v>
      </x:c>
      <x:c r="H367" s="27" t="n">
        <x:v>0.0269</x:v>
      </x:c>
      <x:c r="I367" s="24" t="n">
        <x:v>44774</x:v>
      </x:c>
      <x:c r="J367" s="28" t="n">
        <x:v>30</x:v>
      </x:c>
      <x:c r="K367" s="26" t="n">
        <x:v>359</x:v>
      </x:c>
      <x:c r="L367" s="26" t="n">
        <x:v>0</x:v>
      </x:c>
      <x:c r="M367" s="26" t="n">
        <x:v>0</x:v>
      </x:c>
      <x:c r="N367" s="26" t="n">
        <x:f>SUM(K367:M367)</x:f>
        <x:v>359</x:v>
      </x:c>
      <x:c r="O367" s="25" t="str">
        <x:v>2022-09-01_02-279136.pdf</x:v>
      </x:c>
      <x:c r="P367" s="28" t="n">
        <x:v>1</x:v>
      </x:c>
      <x:c r="Q367" s="29" t="str">
        <x:v>Ingen amorteringsrad redovisas på avin.</x:v>
      </x:c>
    </x:row>
    <x:row r="368">
      <x:c r="A368" s="24" t="n">
        <x:v>44835</x:v>
      </x:c>
      <x:c r="B368" s="25" t="str">
        <x:v>Bolån</x:v>
      </x:c>
      <x:c r="C368" s="25" t="str">
        <x:v>Stadshypotek AB</x:v>
      </x:c>
      <x:c r="D368" s="25" t="str">
        <x:v>02-279136</x:v>
      </x:c>
      <x:c r="E368" s="25" t="str">
        <x:v>821824</x:v>
      </x:c>
      <x:c r="F368" s="29" t="str">
        <x:v>HSB Brf Siljan i Stockholm, lgh 178</x:v>
      </x:c>
      <x:c r="G368" s="26" t="n">
        <x:v>160000</x:v>
      </x:c>
      <x:c r="H368" s="27" t="n">
        <x:v>0.0349</x:v>
      </x:c>
      <x:c r="I368" s="24" t="n">
        <x:v>44805</x:v>
      </x:c>
      <x:c r="J368" s="28" t="n">
        <x:v>30</x:v>
      </x:c>
      <x:c r="K368" s="26" t="n">
        <x:v>465</x:v>
      </x:c>
      <x:c r="L368" s="26" t="n">
        <x:v>0</x:v>
      </x:c>
      <x:c r="M368" s="26" t="n">
        <x:v>0</x:v>
      </x:c>
      <x:c r="N368" s="26" t="n">
        <x:f>SUM(K368:M368)</x:f>
        <x:v>465</x:v>
      </x:c>
      <x:c r="O368" s="25" t="str">
        <x:v>2022-10-01_02-279136.pdf</x:v>
      </x:c>
      <x:c r="P368" s="28" t="n">
        <x:v>1</x:v>
      </x:c>
      <x:c r="Q368" s="29" t="str">
        <x:v>Ingen amorteringsrad redovisas på avin.</x:v>
      </x:c>
    </x:row>
    <x:row r="369">
      <x:c r="A369" s="24" t="n">
        <x:v>44866</x:v>
      </x:c>
      <x:c r="B369" s="25" t="str">
        <x:v>Bolån</x:v>
      </x:c>
      <x:c r="C369" s="25" t="str">
        <x:v>Stadshypotek AB</x:v>
      </x:c>
      <x:c r="D369" s="25" t="str">
        <x:v>02-279136</x:v>
      </x:c>
      <x:c r="E369" s="25" t="str">
        <x:v>821824</x:v>
      </x:c>
      <x:c r="F369" s="29" t="str">
        <x:v>HSB Brf Siljan i Stockholm, lgh 178</x:v>
      </x:c>
      <x:c r="G369" s="26" t="n">
        <x:v>160000</x:v>
      </x:c>
      <x:c r="H369" s="27" t="n">
        <x:v>0.0349</x:v>
      </x:c>
      <x:c r="I369" s="24" t="n">
        <x:v>44835</x:v>
      </x:c>
      <x:c r="J369" s="28" t="n">
        <x:v>30</x:v>
      </x:c>
      <x:c r="K369" s="26" t="n">
        <x:v>465</x:v>
      </x:c>
      <x:c r="L369" s="26" t="n">
        <x:v>0</x:v>
      </x:c>
      <x:c r="M369" s="26" t="n">
        <x:v>0</x:v>
      </x:c>
      <x:c r="N369" s="26" t="n">
        <x:f>SUM(K369:M369)</x:f>
        <x:v>465</x:v>
      </x:c>
      <x:c r="O369" s="25" t="str">
        <x:v>2022-11-01_02-279136.pdf</x:v>
      </x:c>
      <x:c r="P369" s="28" t="n">
        <x:v>1</x:v>
      </x:c>
      <x:c r="Q369" s="29" t="str">
        <x:v>Ingen amorteringsrad redovisas på avin.</x:v>
      </x:c>
    </x:row>
    <x:row r="370">
      <x:c r="A370" s="24" t="n">
        <x:v>44896</x:v>
      </x:c>
      <x:c r="B370" s="25" t="str">
        <x:v>Bolån</x:v>
      </x:c>
      <x:c r="C370" s="25" t="str">
        <x:v>Stadshypotek AB</x:v>
      </x:c>
      <x:c r="D370" s="25" t="str">
        <x:v>02-279136</x:v>
      </x:c>
      <x:c r="E370" s="25" t="str">
        <x:v>821824</x:v>
      </x:c>
      <x:c r="F370" s="29" t="str">
        <x:v>HSB Brf Siljan i Stockholm, lgh 178</x:v>
      </x:c>
      <x:c r="G370" s="26" t="n">
        <x:v>160000</x:v>
      </x:c>
      <x:c r="H370" s="27" t="n">
        <x:v>0.0349</x:v>
      </x:c>
      <x:c r="I370" s="24" t="n">
        <x:v>44866</x:v>
      </x:c>
      <x:c r="J370" s="28" t="n">
        <x:v>30</x:v>
      </x:c>
      <x:c r="K370" s="26" t="n">
        <x:v>465</x:v>
      </x:c>
      <x:c r="L370" s="26" t="n">
        <x:v>0</x:v>
      </x:c>
      <x:c r="M370" s="26" t="n">
        <x:v>0</x:v>
      </x:c>
      <x:c r="N370" s="26" t="n">
        <x:f>SUM(K370:M370)</x:f>
        <x:v>465</x:v>
      </x:c>
      <x:c r="O370" s="25" t="str">
        <x:v>2022-12-01_02-279136.pdf</x:v>
      </x:c>
      <x:c r="P370" s="28" t="n">
        <x:v>1</x:v>
      </x:c>
      <x:c r="Q370" s="29" t="str">
        <x:v>Ingen amorteringsrad redovisas på avin.</x:v>
      </x:c>
    </x:row>
    <x:row r="371">
      <x:c r="A371" s="24" t="n">
        <x:v>44927</x:v>
      </x:c>
      <x:c r="B371" s="25" t="str">
        <x:v>Bolån</x:v>
      </x:c>
      <x:c r="C371" s="25" t="str">
        <x:v>Stadshypotek AB</x:v>
      </x:c>
      <x:c r="D371" s="25" t="str">
        <x:v>02-279136</x:v>
      </x:c>
      <x:c r="E371" s="25" t="str">
        <x:v>821824</x:v>
      </x:c>
      <x:c r="F371" s="29" t="str">
        <x:v>HSB Brf Siljan i Stockholm, lgh 178</x:v>
      </x:c>
      <x:c r="G371" s="26" t="n">
        <x:v>160000</x:v>
      </x:c>
      <x:c r="H371" s="27" t="n">
        <x:v>0.0429</x:v>
      </x:c>
      <x:c r="I371" s="24" t="n">
        <x:v>44896</x:v>
      </x:c>
      <x:c r="J371" s="28" t="n">
        <x:v>30</x:v>
      </x:c>
      <x:c r="K371" s="26" t="n">
        <x:v>572</x:v>
      </x:c>
      <x:c r="L371" s="26" t="n">
        <x:v>0</x:v>
      </x:c>
      <x:c r="M371" s="26" t="n">
        <x:v>0</x:v>
      </x:c>
      <x:c r="N371" s="26" t="n">
        <x:f>SUM(K371:M371)</x:f>
        <x:v>572</x:v>
      </x:c>
      <x:c r="O371" s="25" t="str">
        <x:v>2023-01-01_02-279136.pdf</x:v>
      </x:c>
      <x:c r="P371" s="28" t="n">
        <x:v>1</x:v>
      </x:c>
      <x:c r="Q371" s="29" t="str">
        <x:v>Ingen amorteringsrad redovisas på avin.</x:v>
      </x:c>
    </x:row>
    <x:row r="372">
      <x:c r="A372" s="24" t="n">
        <x:v>44958</x:v>
      </x:c>
      <x:c r="B372" s="25" t="str">
        <x:v>Bolån</x:v>
      </x:c>
      <x:c r="C372" s="25" t="str">
        <x:v>Stadshypotek AB</x:v>
      </x:c>
      <x:c r="D372" s="25" t="str">
        <x:v>02-279136</x:v>
      </x:c>
      <x:c r="E372" s="25" t="str">
        <x:v>821824</x:v>
      </x:c>
      <x:c r="F372" s="29" t="str">
        <x:v>HSB Brf Siljan i Stockholm, lgh 178</x:v>
      </x:c>
      <x:c r="G372" s="26" t="n">
        <x:v>160000</x:v>
      </x:c>
      <x:c r="H372" s="27" t="n">
        <x:v>0.0429</x:v>
      </x:c>
      <x:c r="I372" s="24" t="n">
        <x:v>44927</x:v>
      </x:c>
      <x:c r="J372" s="28" t="n">
        <x:v>30</x:v>
      </x:c>
      <x:c r="K372" s="26" t="n">
        <x:v>572</x:v>
      </x:c>
      <x:c r="L372" s="26" t="n">
        <x:v>0</x:v>
      </x:c>
      <x:c r="M372" s="26" t="n">
        <x:v>0</x:v>
      </x:c>
      <x:c r="N372" s="26" t="n">
        <x:f>SUM(K372:M372)</x:f>
        <x:v>572</x:v>
      </x:c>
      <x:c r="O372" s="25" t="str">
        <x:v>2023-02-01_02-279136.pdf</x:v>
      </x:c>
      <x:c r="P372" s="28" t="n">
        <x:v>1</x:v>
      </x:c>
      <x:c r="Q372" s="29" t="str">
        <x:v>Ingen amorteringsrad redovisas på avin.</x:v>
      </x:c>
    </x:row>
    <x:row r="373">
      <x:c r="A373" s="24" t="n">
        <x:v>44986</x:v>
      </x:c>
      <x:c r="B373" s="25" t="str">
        <x:v>Bolån</x:v>
      </x:c>
      <x:c r="C373" s="25" t="str">
        <x:v>Stadshypotek AB</x:v>
      </x:c>
      <x:c r="D373" s="25" t="str">
        <x:v>02-279136</x:v>
      </x:c>
      <x:c r="E373" s="25" t="str">
        <x:v>821824</x:v>
      </x:c>
      <x:c r="F373" s="29" t="str">
        <x:v>HSB Brf Siljan i Stockholm, lgh 178</x:v>
      </x:c>
      <x:c r="G373" s="26" t="n">
        <x:v>160000</x:v>
      </x:c>
      <x:c r="H373" s="27" t="n">
        <x:v>0.0429</x:v>
      </x:c>
      <x:c r="I373" s="24" t="n">
        <x:v>44958</x:v>
      </x:c>
      <x:c r="J373" s="28" t="n">
        <x:v>30</x:v>
      </x:c>
      <x:c r="K373" s="26" t="n">
        <x:v>572</x:v>
      </x:c>
      <x:c r="L373" s="26" t="n">
        <x:v>0</x:v>
      </x:c>
      <x:c r="M373" s="26" t="n">
        <x:v>0</x:v>
      </x:c>
      <x:c r="N373" s="26" t="n">
        <x:f>SUM(K373:M373)</x:f>
        <x:v>572</x:v>
      </x:c>
      <x:c r="O373" s="25" t="str">
        <x:v>2023-03-01_02-279136.pdf</x:v>
      </x:c>
      <x:c r="P373" s="28" t="n">
        <x:v>1</x:v>
      </x:c>
      <x:c r="Q373" s="29" t="str">
        <x:v>Ingen amorteringsrad redovisas på avin.</x:v>
      </x:c>
    </x:row>
    <x:row r="374">
      <x:c r="A374" s="24" t="n">
        <x:v>45017</x:v>
      </x:c>
      <x:c r="B374" s="25" t="str">
        <x:v>Bolån</x:v>
      </x:c>
      <x:c r="C374" s="25" t="str">
        <x:v>Stadshypotek AB</x:v>
      </x:c>
      <x:c r="D374" s="25" t="str">
        <x:v>02-279136</x:v>
      </x:c>
      <x:c r="E374" s="25" t="str">
        <x:v>821824</x:v>
      </x:c>
      <x:c r="F374" s="29" t="str">
        <x:v>HSB Brf Siljan i Stockholm, lgh 178</x:v>
      </x:c>
      <x:c r="G374" s="26" t="n">
        <x:v>160000</x:v>
      </x:c>
      <x:c r="H374" s="27" t="n">
        <x:v>0.049400000000000006</x:v>
      </x:c>
      <x:c r="I374" s="24" t="n">
        <x:v>44986</x:v>
      </x:c>
      <x:c r="J374" s="28" t="n">
        <x:v>30</x:v>
      </x:c>
      <x:c r="K374" s="26" t="n">
        <x:v>659</x:v>
      </x:c>
      <x:c r="L374" s="26" t="n">
        <x:v>0</x:v>
      </x:c>
      <x:c r="M374" s="26" t="n">
        <x:v>0</x:v>
      </x:c>
      <x:c r="N374" s="26" t="n">
        <x:f>SUM(K374:M374)</x:f>
        <x:v>659</x:v>
      </x:c>
      <x:c r="O374" s="25" t="str">
        <x:v>2023-04-01_02-279136.pdf</x:v>
      </x:c>
      <x:c r="P374" s="28" t="n">
        <x:v>1</x:v>
      </x:c>
      <x:c r="Q374" s="29" t="str">
        <x:v>Ingen amorteringsrad redovisas på avin.</x:v>
      </x:c>
    </x:row>
    <x:row r="375">
      <x:c r="A375" s="24" t="n">
        <x:v>45047</x:v>
      </x:c>
      <x:c r="B375" s="25" t="str">
        <x:v>Bolån</x:v>
      </x:c>
      <x:c r="C375" s="25" t="str">
        <x:v>Stadshypotek AB</x:v>
      </x:c>
      <x:c r="D375" s="25" t="str">
        <x:v>02-279136</x:v>
      </x:c>
      <x:c r="E375" s="25" t="str">
        <x:v>821824</x:v>
      </x:c>
      <x:c r="F375" s="29" t="str">
        <x:v>HSB Brf Siljan i Stockholm, lgh 178</x:v>
      </x:c>
      <x:c r="G375" s="26" t="n">
        <x:v>160000</x:v>
      </x:c>
      <x:c r="H375" s="27" t="n">
        <x:v>0.049400000000000006</x:v>
      </x:c>
      <x:c r="I375" s="24" t="n">
        <x:v>45017</x:v>
      </x:c>
      <x:c r="J375" s="28" t="n">
        <x:v>30</x:v>
      </x:c>
      <x:c r="K375" s="26" t="n">
        <x:v>659</x:v>
      </x:c>
      <x:c r="L375" s="26" t="n">
        <x:v>0</x:v>
      </x:c>
      <x:c r="M375" s="26" t="n">
        <x:v>0</x:v>
      </x:c>
      <x:c r="N375" s="26" t="n">
        <x:f>SUM(K375:M375)</x:f>
        <x:v>659</x:v>
      </x:c>
      <x:c r="O375" s="25" t="str">
        <x:v>2023-05-01_02-279136.pdf</x:v>
      </x:c>
      <x:c r="P375" s="28" t="n">
        <x:v>1</x:v>
      </x:c>
      <x:c r="Q375" s="29" t="str">
        <x:v>Ingen amorteringsrad redovisas på avin.</x:v>
      </x:c>
    </x:row>
    <x:row r="376">
      <x:c r="A376" s="24" t="n">
        <x:v>45078</x:v>
      </x:c>
      <x:c r="B376" s="25" t="str">
        <x:v>Bolån</x:v>
      </x:c>
      <x:c r="C376" s="25" t="str">
        <x:v>Stadshypotek AB</x:v>
      </x:c>
      <x:c r="D376" s="25" t="str">
        <x:v>02-279136</x:v>
      </x:c>
      <x:c r="E376" s="25" t="str">
        <x:v>821824</x:v>
      </x:c>
      <x:c r="F376" s="29" t="str">
        <x:v>HSB Brf Siljan i Stockholm, lgh 178</x:v>
      </x:c>
      <x:c r="G376" s="26" t="n">
        <x:v>160000</x:v>
      </x:c>
      <x:c r="H376" s="27" t="n">
        <x:v>0.049400000000000006</x:v>
      </x:c>
      <x:c r="I376" s="24" t="n">
        <x:v>45047</x:v>
      </x:c>
      <x:c r="J376" s="28" t="n">
        <x:v>30</x:v>
      </x:c>
      <x:c r="K376" s="26" t="n">
        <x:v>659</x:v>
      </x:c>
      <x:c r="L376" s="26" t="n">
        <x:v>0</x:v>
      </x:c>
      <x:c r="M376" s="26" t="n">
        <x:v>0</x:v>
      </x:c>
      <x:c r="N376" s="26" t="n">
        <x:f>SUM(K376:M376)</x:f>
        <x:v>659</x:v>
      </x:c>
      <x:c r="O376" s="25" t="str">
        <x:v>2023-06-01_02-279136.pdf</x:v>
      </x:c>
      <x:c r="P376" s="28" t="n">
        <x:v>1</x:v>
      </x:c>
      <x:c r="Q376" s="29" t="str">
        <x:v>Ingen amorteringsrad redovisas på avin.</x:v>
      </x:c>
    </x:row>
    <x:row r="377">
      <x:c r="A377" s="24" t="n">
        <x:v>45108</x:v>
      </x:c>
      <x:c r="B377" s="25" t="str">
        <x:v>Bolån</x:v>
      </x:c>
      <x:c r="C377" s="25" t="str">
        <x:v>Stadshypotek AB</x:v>
      </x:c>
      <x:c r="D377" s="25" t="str">
        <x:v>02-279136</x:v>
      </x:c>
      <x:c r="E377" s="25" t="str">
        <x:v>821824</x:v>
      </x:c>
      <x:c r="F377" s="29" t="str">
        <x:v>HSB Brf Siljan i Stockholm, lgh 178</x:v>
      </x:c>
      <x:c r="G377" s="26" t="n">
        <x:v>160000</x:v>
      </x:c>
      <x:c r="H377" s="27" t="n">
        <x:v>0.054400000000000004</x:v>
      </x:c>
      <x:c r="I377" s="24" t="n">
        <x:v>45078</x:v>
      </x:c>
      <x:c r="J377" s="28" t="n">
        <x:v>30</x:v>
      </x:c>
      <x:c r="K377" s="26" t="n">
        <x:v>725</x:v>
      </x:c>
      <x:c r="L377" s="26" t="n">
        <x:v>0</x:v>
      </x:c>
      <x:c r="M377" s="26" t="n">
        <x:v>0</x:v>
      </x:c>
      <x:c r="N377" s="26" t="n">
        <x:f>SUM(K377:M377)</x:f>
        <x:v>725</x:v>
      </x:c>
      <x:c r="O377" s="25" t="str">
        <x:v>2023-07-01_02-279136.pdf</x:v>
      </x:c>
      <x:c r="P377" s="28" t="n">
        <x:v>1</x:v>
      </x:c>
      <x:c r="Q377" s="29" t="str">
        <x:v>Ingen amorteringsrad redovisas på avin.</x:v>
      </x:c>
    </x:row>
    <x:row r="378">
      <x:c r="A378" s="24" t="n">
        <x:v>45139</x:v>
      </x:c>
      <x:c r="B378" s="25" t="str">
        <x:v>Bolån</x:v>
      </x:c>
      <x:c r="C378" s="25" t="str">
        <x:v>Stadshypotek AB</x:v>
      </x:c>
      <x:c r="D378" s="25" t="str">
        <x:v>02-279136</x:v>
      </x:c>
      <x:c r="E378" s="25" t="str">
        <x:v>821824</x:v>
      </x:c>
      <x:c r="F378" s="29" t="str">
        <x:v>HSB Brf Siljan i Stockholm, lgh 178</x:v>
      </x:c>
      <x:c r="G378" s="26" t="n">
        <x:v>160000</x:v>
      </x:c>
      <x:c r="H378" s="27" t="n">
        <x:v>0.054400000000000004</x:v>
      </x:c>
      <x:c r="I378" s="24" t="n">
        <x:v>45108</x:v>
      </x:c>
      <x:c r="J378" s="28" t="n">
        <x:v>30</x:v>
      </x:c>
      <x:c r="K378" s="26" t="n">
        <x:v>725</x:v>
      </x:c>
      <x:c r="L378" s="26" t="n">
        <x:v>0</x:v>
      </x:c>
      <x:c r="M378" s="26" t="n">
        <x:v>0</x:v>
      </x:c>
      <x:c r="N378" s="26" t="n">
        <x:f>SUM(K378:M378)</x:f>
        <x:v>725</x:v>
      </x:c>
      <x:c r="O378" s="25" t="str">
        <x:v>2023-08-01_02-279136.pdf</x:v>
      </x:c>
      <x:c r="P378" s="28" t="n">
        <x:v>1</x:v>
      </x:c>
      <x:c r="Q378" s="29" t="str">
        <x:v>Ingen amorteringsrad redovisas på avin.</x:v>
      </x:c>
    </x:row>
    <x:row r="379">
      <x:c r="A379" s="24" t="n">
        <x:v>45170</x:v>
      </x:c>
      <x:c r="B379" s="25" t="str">
        <x:v>Bolån</x:v>
      </x:c>
      <x:c r="C379" s="25" t="str">
        <x:v>Stadshypotek AB</x:v>
      </x:c>
      <x:c r="D379" s="25" t="str">
        <x:v>02-279136</x:v>
      </x:c>
      <x:c r="E379" s="25" t="str">
        <x:v>821824</x:v>
      </x:c>
      <x:c r="F379" s="29" t="str">
        <x:v>HSB Brf Siljan i Stockholm, lgh 178</x:v>
      </x:c>
      <x:c r="G379" s="26" t="n">
        <x:v>160000</x:v>
      </x:c>
      <x:c r="H379" s="27" t="n">
        <x:v>0.054400000000000004</x:v>
      </x:c>
      <x:c r="I379" s="24" t="n">
        <x:v>45139</x:v>
      </x:c>
      <x:c r="J379" s="28" t="n">
        <x:v>30</x:v>
      </x:c>
      <x:c r="K379" s="26" t="n">
        <x:v>725</x:v>
      </x:c>
      <x:c r="L379" s="26" t="n">
        <x:v>0</x:v>
      </x:c>
      <x:c r="M379" s="26" t="n">
        <x:v>0</x:v>
      </x:c>
      <x:c r="N379" s="26" t="n">
        <x:f>SUM(K379:M379)</x:f>
        <x:v>725</x:v>
      </x:c>
      <x:c r="O379" s="25" t="str">
        <x:v>2023-09-01_02-279136.pdf</x:v>
      </x:c>
      <x:c r="P379" s="28" t="n">
        <x:v>1</x:v>
      </x:c>
      <x:c r="Q379" s="29" t="str">
        <x:v>Ingen amorteringsrad redovisas på avin.</x:v>
      </x:c>
    </x:row>
    <x:row r="380">
      <x:c r="A380" s="24" t="n">
        <x:v>45200</x:v>
      </x:c>
      <x:c r="B380" s="25" t="str">
        <x:v>Bolån</x:v>
      </x:c>
      <x:c r="C380" s="25" t="str">
        <x:v>Stadshypotek AB</x:v>
      </x:c>
      <x:c r="D380" s="25" t="str">
        <x:v>02-279136</x:v>
      </x:c>
      <x:c r="E380" s="25" t="str">
        <x:v>821824</x:v>
      </x:c>
      <x:c r="F380" s="29" t="str">
        <x:v>HSB Brf Siljan i Stockholm, lgh 178</x:v>
      </x:c>
      <x:c r="G380" s="26" t="n">
        <x:v>160000</x:v>
      </x:c>
      <x:c r="H380" s="27" t="n">
        <x:v>0.056900000000000006</x:v>
      </x:c>
      <x:c r="I380" s="24" t="n">
        <x:v>45170</x:v>
      </x:c>
      <x:c r="J380" s="28" t="n">
        <x:v>30</x:v>
      </x:c>
      <x:c r="K380" s="26" t="n">
        <x:v>759</x:v>
      </x:c>
      <x:c r="L380" s="26" t="n">
        <x:v>0</x:v>
      </x:c>
      <x:c r="M380" s="26" t="n">
        <x:v>0</x:v>
      </x:c>
      <x:c r="N380" s="26" t="n">
        <x:f>SUM(K380:M380)</x:f>
        <x:v>759</x:v>
      </x:c>
      <x:c r="O380" s="25" t="str">
        <x:v>2023-10-01_02-279136.pdf</x:v>
      </x:c>
      <x:c r="P380" s="28" t="n">
        <x:v>1</x:v>
      </x:c>
      <x:c r="Q380" s="29" t="str">
        <x:v>Ingen amorteringsrad redovisas på avin.</x:v>
      </x:c>
    </x:row>
    <x:row r="381">
      <x:c r="A381" s="24" t="n">
        <x:v>45231</x:v>
      </x:c>
      <x:c r="B381" s="25" t="str">
        <x:v>Bolån</x:v>
      </x:c>
      <x:c r="C381" s="25" t="str">
        <x:v>Stadshypotek AB</x:v>
      </x:c>
      <x:c r="D381" s="25" t="str">
        <x:v>02-279136</x:v>
      </x:c>
      <x:c r="E381" s="25" t="str">
        <x:v>821824</x:v>
      </x:c>
      <x:c r="F381" s="29" t="str">
        <x:v>HSB Brf Siljan i Stockholm, lgh 178</x:v>
      </x:c>
      <x:c r="G381" s="26" t="n">
        <x:v>160000</x:v>
      </x:c>
      <x:c r="H381" s="27" t="n">
        <x:v>0.056900000000000006</x:v>
      </x:c>
      <x:c r="I381" s="24" t="n">
        <x:v>45200</x:v>
      </x:c>
      <x:c r="J381" s="28" t="n">
        <x:v>30</x:v>
      </x:c>
      <x:c r="K381" s="26" t="n">
        <x:v>759</x:v>
      </x:c>
      <x:c r="L381" s="26" t="n">
        <x:v>0</x:v>
      </x:c>
      <x:c r="M381" s="26" t="n">
        <x:v>0</x:v>
      </x:c>
      <x:c r="N381" s="26" t="n">
        <x:f>SUM(K381:M381)</x:f>
        <x:v>759</x:v>
      </x:c>
      <x:c r="O381" s="25" t="str">
        <x:v>2023-11-01_02-279136.pdf</x:v>
      </x:c>
      <x:c r="P381" s="28" t="n">
        <x:v>1</x:v>
      </x:c>
      <x:c r="Q381" s="29" t="str">
        <x:v>Ingen amorteringsrad redovisas på avin.</x:v>
      </x:c>
    </x:row>
    <x:row r="382">
      <x:c r="A382" s="24" t="n">
        <x:v>45261</x:v>
      </x:c>
      <x:c r="B382" s="25" t="str">
        <x:v>Bolån</x:v>
      </x:c>
      <x:c r="C382" s="25" t="str">
        <x:v>Stadshypotek AB</x:v>
      </x:c>
      <x:c r="D382" s="25" t="str">
        <x:v>02-279136</x:v>
      </x:c>
      <x:c r="E382" s="25" t="str">
        <x:v>821824</x:v>
      </x:c>
      <x:c r="F382" s="29" t="str">
        <x:v>HSB Brf Siljan i Stockholm, lgh 178</x:v>
      </x:c>
      <x:c r="G382" s="26" t="n">
        <x:v>160000</x:v>
      </x:c>
      <x:c r="H382" s="27" t="n">
        <x:v>0.056900000000000006</x:v>
      </x:c>
      <x:c r="I382" s="24" t="n">
        <x:v>45231</x:v>
      </x:c>
      <x:c r="J382" s="28" t="n">
        <x:v>30</x:v>
      </x:c>
      <x:c r="K382" s="26" t="n">
        <x:v>759</x:v>
      </x:c>
      <x:c r="L382" s="26" t="n">
        <x:v>0</x:v>
      </x:c>
      <x:c r="M382" s="26" t="n">
        <x:v>0</x:v>
      </x:c>
      <x:c r="N382" s="26" t="n">
        <x:f>SUM(K382:M382)</x:f>
        <x:v>759</x:v>
      </x:c>
      <x:c r="O382" s="25" t="str">
        <x:v>2023-12-01_02-279136.pdf</x:v>
      </x:c>
      <x:c r="P382" s="28" t="n">
        <x:v>1</x:v>
      </x:c>
      <x:c r="Q382" s="29" t="str">
        <x:v>Ingen amorteringsrad redovisas på avin.</x:v>
      </x:c>
    </x:row>
    <x:row r="383">
      <x:c r="A383" s="24" t="n">
        <x:v>45292</x:v>
      </x:c>
      <x:c r="B383" s="25" t="str">
        <x:v>Bolån</x:v>
      </x:c>
      <x:c r="C383" s="25" t="str">
        <x:v>Stadshypotek AB</x:v>
      </x:c>
      <x:c r="D383" s="25" t="str">
        <x:v>02-279136</x:v>
      </x:c>
      <x:c r="E383" s="25" t="str">
        <x:v>821824</x:v>
      </x:c>
      <x:c r="F383" s="29" t="str">
        <x:v>HSB Brf Siljan i Stockholm, lgh 178</x:v>
      </x:c>
      <x:c r="G383" s="26" t="n">
        <x:v>160000</x:v>
      </x:c>
      <x:c r="H383" s="27" t="n">
        <x:v>0.0594</x:v>
      </x:c>
      <x:c r="I383" s="24" t="n">
        <x:v>45261</x:v>
      </x:c>
      <x:c r="J383" s="28" t="n">
        <x:v>30</x:v>
      </x:c>
      <x:c r="K383" s="26" t="n">
        <x:v>792</x:v>
      </x:c>
      <x:c r="L383" s="26" t="n">
        <x:v>0</x:v>
      </x:c>
      <x:c r="M383" s="26" t="n">
        <x:v>0</x:v>
      </x:c>
      <x:c r="N383" s="26" t="n">
        <x:f>SUM(K383:M383)</x:f>
        <x:v>792</x:v>
      </x:c>
      <x:c r="O383" s="25" t="str">
        <x:v>2024-01-01_02-279136.pdf</x:v>
      </x:c>
      <x:c r="P383" s="28" t="n">
        <x:v>1</x:v>
      </x:c>
      <x:c r="Q383" s="29" t="str">
        <x:v>Ingen amorteringsrad redovisas på avin.</x:v>
      </x:c>
    </x:row>
    <x:row r="384">
      <x:c r="A384" s="24" t="n">
        <x:v>45323</x:v>
      </x:c>
      <x:c r="B384" s="25" t="str">
        <x:v>Bolån</x:v>
      </x:c>
      <x:c r="C384" s="25" t="str">
        <x:v>Stadshypotek AB</x:v>
      </x:c>
      <x:c r="D384" s="25" t="str">
        <x:v>02-279136</x:v>
      </x:c>
      <x:c r="E384" s="25" t="str">
        <x:v>821824</x:v>
      </x:c>
      <x:c r="F384" s="29" t="str">
        <x:v>HSB Brf Siljan i Stockholm, lgh 178</x:v>
      </x:c>
      <x:c r="G384" s="26" t="n">
        <x:v>160000</x:v>
      </x:c>
      <x:c r="H384" s="27" t="n">
        <x:v>0.0594</x:v>
      </x:c>
      <x:c r="I384" s="24" t="n">
        <x:v>45292</x:v>
      </x:c>
      <x:c r="J384" s="28" t="n">
        <x:v>30</x:v>
      </x:c>
      <x:c r="K384" s="26" t="n">
        <x:v>792</x:v>
      </x:c>
      <x:c r="L384" s="26" t="n">
        <x:v>0</x:v>
      </x:c>
      <x:c r="M384" s="26" t="n">
        <x:v>0</x:v>
      </x:c>
      <x:c r="N384" s="26" t="n">
        <x:f>SUM(K384:M384)</x:f>
        <x:v>792</x:v>
      </x:c>
      <x:c r="O384" s="25" t="str">
        <x:v>2024-02-01_02-279136.pdf</x:v>
      </x:c>
      <x:c r="P384" s="28" t="n">
        <x:v>1</x:v>
      </x:c>
      <x:c r="Q384" s="29" t="str">
        <x:v>Ingen amorteringsrad redovisas på avin.</x:v>
      </x:c>
    </x:row>
    <x:row r="385">
      <x:c r="A385" s="24" t="n">
        <x:v>45352</x:v>
      </x:c>
      <x:c r="B385" s="25" t="str">
        <x:v>Bolån</x:v>
      </x:c>
      <x:c r="C385" s="25" t="str">
        <x:v>Stadshypotek AB</x:v>
      </x:c>
      <x:c r="D385" s="25" t="str">
        <x:v>02-279136</x:v>
      </x:c>
      <x:c r="E385" s="25" t="str">
        <x:v>821824</x:v>
      </x:c>
      <x:c r="F385" s="29" t="str">
        <x:v>HSB Brf Siljan i Stockholm, lgh 178</x:v>
      </x:c>
      <x:c r="G385" s="26" t="n">
        <x:v>160000</x:v>
      </x:c>
      <x:c r="H385" s="27" t="n">
        <x:v>0.0594</x:v>
      </x:c>
      <x:c r="I385" s="24" t="n">
        <x:v>45323</x:v>
      </x:c>
      <x:c r="J385" s="28" t="n">
        <x:v>30</x:v>
      </x:c>
      <x:c r="K385" s="26" t="n">
        <x:v>792</x:v>
      </x:c>
      <x:c r="L385" s="26" t="n">
        <x:v>0</x:v>
      </x:c>
      <x:c r="M385" s="26" t="n">
        <x:v>0</x:v>
      </x:c>
      <x:c r="N385" s="26" t="n">
        <x:f>SUM(K385:M385)</x:f>
        <x:v>792</x:v>
      </x:c>
      <x:c r="O385" s="25" t="str">
        <x:v>2024-03-01_02-279136.pdf</x:v>
      </x:c>
      <x:c r="P385" s="28" t="n">
        <x:v>1</x:v>
      </x:c>
      <x:c r="Q385" s="29" t="str">
        <x:v>Ingen amorteringsrad redovisas på avin.</x:v>
      </x:c>
    </x:row>
    <x:row r="386">
      <x:c r="A386" s="24" t="n">
        <x:v>45383</x:v>
      </x:c>
      <x:c r="B386" s="25" t="str">
        <x:v>Bolån</x:v>
      </x:c>
      <x:c r="C386" s="25" t="str">
        <x:v>Stadshypotek AB</x:v>
      </x:c>
      <x:c r="D386" s="25" t="str">
        <x:v>02-279136</x:v>
      </x:c>
      <x:c r="E386" s="25" t="str">
        <x:v>821824</x:v>
      </x:c>
      <x:c r="F386" s="29" t="str">
        <x:v>HSB Brf Siljan i Stockholm, lgh 178</x:v>
      </x:c>
      <x:c r="G386" s="26" t="n">
        <x:v>160000</x:v>
      </x:c>
      <x:c r="H386" s="27" t="n">
        <x:v>0.0594</x:v>
      </x:c>
      <x:c r="I386" s="24" t="n">
        <x:v>45352</x:v>
      </x:c>
      <x:c r="J386" s="28" t="n">
        <x:v>30</x:v>
      </x:c>
      <x:c r="K386" s="26" t="n">
        <x:v>792</x:v>
      </x:c>
      <x:c r="L386" s="26" t="n">
        <x:v>0</x:v>
      </x:c>
      <x:c r="M386" s="26" t="n">
        <x:v>0</x:v>
      </x:c>
      <x:c r="N386" s="26" t="n">
        <x:f>SUM(K386:M386)</x:f>
        <x:v>792</x:v>
      </x:c>
      <x:c r="O386" s="25" t="str">
        <x:v>2024-04-01_02-279136.pdf</x:v>
      </x:c>
      <x:c r="P386" s="28" t="n">
        <x:v>1</x:v>
      </x:c>
      <x:c r="Q386" s="29" t="str">
        <x:v>Ingen amorteringsrad redovisas på avin.</x:v>
      </x:c>
    </x:row>
    <x:row r="387">
      <x:c r="A387" s="24" t="n">
        <x:v>45413</x:v>
      </x:c>
      <x:c r="B387" s="25" t="str">
        <x:v>Bolån</x:v>
      </x:c>
      <x:c r="C387" s="25" t="str">
        <x:v>Stadshypotek AB</x:v>
      </x:c>
      <x:c r="D387" s="25" t="str">
        <x:v>02-279136</x:v>
      </x:c>
      <x:c r="E387" s="25" t="str">
        <x:v>821824</x:v>
      </x:c>
      <x:c r="F387" s="29" t="str">
        <x:v>HSB Brf Siljan i Stockholm, lgh 178</x:v>
      </x:c>
      <x:c r="G387" s="26" t="n">
        <x:v>160000</x:v>
      </x:c>
      <x:c r="H387" s="27" t="n">
        <x:v>0.0594</x:v>
      </x:c>
      <x:c r="I387" s="24" t="n">
        <x:v>45383</x:v>
      </x:c>
      <x:c r="J387" s="28" t="n">
        <x:v>30</x:v>
      </x:c>
      <x:c r="K387" s="26" t="n">
        <x:v>792</x:v>
      </x:c>
      <x:c r="L387" s="26" t="n">
        <x:v>0</x:v>
      </x:c>
      <x:c r="M387" s="26" t="n">
        <x:v>0</x:v>
      </x:c>
      <x:c r="N387" s="26" t="n">
        <x:f>SUM(K387:M387)</x:f>
        <x:v>792</x:v>
      </x:c>
      <x:c r="O387" s="25" t="str">
        <x:v>2024-05-01_02-279136.pdf</x:v>
      </x:c>
      <x:c r="P387" s="28" t="n">
        <x:v>1</x:v>
      </x:c>
      <x:c r="Q387" s="29" t="str">
        <x:v>Ingen amorteringsrad redovisas på avin.</x:v>
      </x:c>
    </x:row>
    <x:row r="388">
      <x:c r="A388" s="24" t="n">
        <x:v>45444</x:v>
      </x:c>
      <x:c r="B388" s="25" t="str">
        <x:v>Bolån</x:v>
      </x:c>
      <x:c r="C388" s="25" t="str">
        <x:v>Stadshypotek AB</x:v>
      </x:c>
      <x:c r="D388" s="25" t="str">
        <x:v>02-279136</x:v>
      </x:c>
      <x:c r="E388" s="25" t="str">
        <x:v>821824</x:v>
      </x:c>
      <x:c r="F388" s="29" t="str">
        <x:v>HSB Brf Siljan i Stockholm, lgh 178</x:v>
      </x:c>
      <x:c r="G388" s="26" t="n">
        <x:v>160000</x:v>
      </x:c>
      <x:c r="H388" s="27" t="n">
        <x:v>0.0594</x:v>
      </x:c>
      <x:c r="I388" s="24" t="n">
        <x:v>45413</x:v>
      </x:c>
      <x:c r="J388" s="28" t="n">
        <x:v>30</x:v>
      </x:c>
      <x:c r="K388" s="26" t="n">
        <x:v>792</x:v>
      </x:c>
      <x:c r="L388" s="26" t="n">
        <x:v>0</x:v>
      </x:c>
      <x:c r="M388" s="26" t="n">
        <x:v>0</x:v>
      </x:c>
      <x:c r="N388" s="26" t="n">
        <x:f>SUM(K388:M388)</x:f>
        <x:v>792</x:v>
      </x:c>
      <x:c r="O388" s="25" t="str">
        <x:v>2024-06-01_02-279136.pdf</x:v>
      </x:c>
      <x:c r="P388" s="28" t="n">
        <x:v>1</x:v>
      </x:c>
      <x:c r="Q388" s="29" t="str">
        <x:v>Ingen amorteringsrad redovisas på avin.</x:v>
      </x:c>
    </x:row>
    <x:row r="389">
      <x:c r="A389" s="24" t="n">
        <x:v>45474</x:v>
      </x:c>
      <x:c r="B389" s="25" t="str">
        <x:v>Bolån</x:v>
      </x:c>
      <x:c r="C389" s="25" t="str">
        <x:v>Stadshypotek AB</x:v>
      </x:c>
      <x:c r="D389" s="25" t="str">
        <x:v>02-279136</x:v>
      </x:c>
      <x:c r="E389" s="25" t="str">
        <x:v>821824</x:v>
      </x:c>
      <x:c r="F389" s="29" t="str">
        <x:v>HSB Brf Siljan i Stockholm, lgh 178</x:v>
      </x:c>
      <x:c r="G389" s="26" t="n">
        <x:v>160000</x:v>
      </x:c>
      <x:c r="H389" s="27" t="n">
        <x:v>0.056900000000000006</x:v>
      </x:c>
      <x:c r="I389" s="24" t="n">
        <x:v>45444</x:v>
      </x:c>
      <x:c r="J389" s="28" t="n">
        <x:v>30</x:v>
      </x:c>
      <x:c r="K389" s="26" t="n">
        <x:v>759</x:v>
      </x:c>
      <x:c r="L389" s="26" t="n">
        <x:v>0</x:v>
      </x:c>
      <x:c r="M389" s="26" t="n">
        <x:v>0</x:v>
      </x:c>
      <x:c r="N389" s="26" t="n">
        <x:f>SUM(K389:M389)</x:f>
        <x:v>759</x:v>
      </x:c>
      <x:c r="O389" s="25" t="str">
        <x:v>2024-07-01_02-279136.pdf</x:v>
      </x:c>
      <x:c r="P389" s="28" t="n">
        <x:v>1</x:v>
      </x:c>
      <x:c r="Q389" s="29" t="str">
        <x:v>Ingen amorteringsrad redovisas på avin.</x:v>
      </x:c>
    </x:row>
    <x:row r="390">
      <x:c r="A390" s="24" t="n">
        <x:v>45505</x:v>
      </x:c>
      <x:c r="B390" s="25" t="str">
        <x:v>Bolån</x:v>
      </x:c>
      <x:c r="C390" s="25" t="str">
        <x:v>Stadshypotek AB</x:v>
      </x:c>
      <x:c r="D390" s="25" t="str">
        <x:v>02-279136</x:v>
      </x:c>
      <x:c r="E390" s="25" t="str">
        <x:v>821824</x:v>
      </x:c>
      <x:c r="F390" s="29" t="str">
        <x:v>HSB Brf Siljan i Stockholm, lgh 178</x:v>
      </x:c>
      <x:c r="G390" s="26" t="n">
        <x:v>160000</x:v>
      </x:c>
      <x:c r="H390" s="27" t="n">
        <x:v>0.056900000000000006</x:v>
      </x:c>
      <x:c r="I390" s="24" t="n">
        <x:v>45474</x:v>
      </x:c>
      <x:c r="J390" s="28" t="n">
        <x:v>30</x:v>
      </x:c>
      <x:c r="K390" s="26" t="n">
        <x:v>759</x:v>
      </x:c>
      <x:c r="L390" s="26" t="n">
        <x:v>0</x:v>
      </x:c>
      <x:c r="M390" s="26" t="n">
        <x:v>0</x:v>
      </x:c>
      <x:c r="N390" s="26" t="n">
        <x:f>SUM(K390:M390)</x:f>
        <x:v>759</x:v>
      </x:c>
      <x:c r="O390" s="25" t="str">
        <x:v>2024-08-01_02-279136.pdf</x:v>
      </x:c>
      <x:c r="P390" s="28" t="n">
        <x:v>1</x:v>
      </x:c>
      <x:c r="Q390" s="29" t="str">
        <x:v>Ingen amorteringsrad redovisas på avin.</x:v>
      </x:c>
    </x:row>
    <x:row r="391">
      <x:c r="A391" s="24" t="n">
        <x:v>45536</x:v>
      </x:c>
      <x:c r="B391" s="25" t="str">
        <x:v>Bolån</x:v>
      </x:c>
      <x:c r="C391" s="25" t="str">
        <x:v>Stadshypotek AB</x:v>
      </x:c>
      <x:c r="D391" s="25" t="str">
        <x:v>02-279136</x:v>
      </x:c>
      <x:c r="E391" s="25" t="str">
        <x:v>821824</x:v>
      </x:c>
      <x:c r="F391" s="29" t="str">
        <x:v>HSB Brf Siljan i Stockholm, lgh 178</x:v>
      </x:c>
      <x:c r="G391" s="26" t="n">
        <x:v>160000</x:v>
      </x:c>
      <x:c r="H391" s="27" t="n">
        <x:v>0.056900000000000006</x:v>
      </x:c>
      <x:c r="I391" s="24" t="n">
        <x:v>45505</x:v>
      </x:c>
      <x:c r="J391" s="28" t="n">
        <x:v>30</x:v>
      </x:c>
      <x:c r="K391" s="26" t="n">
        <x:v>759</x:v>
      </x:c>
      <x:c r="L391" s="26" t="n">
        <x:v>0</x:v>
      </x:c>
      <x:c r="M391" s="26" t="n">
        <x:v>0</x:v>
      </x:c>
      <x:c r="N391" s="26" t="n">
        <x:f>SUM(K391:M391)</x:f>
        <x:v>759</x:v>
      </x:c>
      <x:c r="O391" s="25" t="str">
        <x:v>2024-09-01_02-279136.pdf</x:v>
      </x:c>
      <x:c r="P391" s="28" t="n">
        <x:v>1</x:v>
      </x:c>
      <x:c r="Q391" s="29" t="str">
        <x:v>Ingen amorteringsrad redovisas på avin.</x:v>
      </x:c>
    </x:row>
    <x:row r="392">
      <x:c r="A392" s="24" t="n">
        <x:v>45566</x:v>
      </x:c>
      <x:c r="B392" s="25" t="str">
        <x:v>Bolån</x:v>
      </x:c>
      <x:c r="C392" s="25" t="str">
        <x:v>Stadshypotek AB</x:v>
      </x:c>
      <x:c r="D392" s="25" t="str">
        <x:v>02-279136</x:v>
      </x:c>
      <x:c r="E392" s="25" t="str">
        <x:v>821824</x:v>
      </x:c>
      <x:c r="F392" s="29" t="str">
        <x:v>HSB Brf Siljan i Stockholm, lgh 178</x:v>
      </x:c>
      <x:c r="G392" s="26" t="n">
        <x:v>160000</x:v>
      </x:c>
      <x:c r="H392" s="27" t="n">
        <x:v>0.054900000000000004</x:v>
      </x:c>
      <x:c r="I392" s="24" t="n">
        <x:v>45536</x:v>
      </x:c>
      <x:c r="J392" s="28" t="n">
        <x:v>30</x:v>
      </x:c>
      <x:c r="K392" s="26" t="n">
        <x:v>732</x:v>
      </x:c>
      <x:c r="L392" s="26" t="n">
        <x:v>0</x:v>
      </x:c>
      <x:c r="M392" s="26" t="n">
        <x:v>0</x:v>
      </x:c>
      <x:c r="N392" s="26" t="n">
        <x:f>SUM(K392:M392)</x:f>
        <x:v>732</x:v>
      </x:c>
      <x:c r="O392" s="25" t="str">
        <x:v>2024-10-01_02-279136.pdf</x:v>
      </x:c>
      <x:c r="P392" s="28" t="n">
        <x:v>1</x:v>
      </x:c>
      <x:c r="Q392" s="29" t="str">
        <x:v>Ingen amorteringsrad redovisas på avin.</x:v>
      </x:c>
    </x:row>
    <x:row r="393">
      <x:c r="A393" s="24" t="n">
        <x:v>45597</x:v>
      </x:c>
      <x:c r="B393" s="25" t="str">
        <x:v>Bolån</x:v>
      </x:c>
      <x:c r="C393" s="25" t="str">
        <x:v>Stadshypotek AB</x:v>
      </x:c>
      <x:c r="D393" s="25" t="str">
        <x:v>02-279136</x:v>
      </x:c>
      <x:c r="E393" s="25" t="str">
        <x:v>821824</x:v>
      </x:c>
      <x:c r="F393" s="29" t="str">
        <x:v>HSB Brf Siljan i Stockholm, lgh 178</x:v>
      </x:c>
      <x:c r="G393" s="26" t="n">
        <x:v>160000</x:v>
      </x:c>
      <x:c r="H393" s="27" t="n">
        <x:v>0.054900000000000004</x:v>
      </x:c>
      <x:c r="I393" s="24" t="n">
        <x:v>45566</x:v>
      </x:c>
      <x:c r="J393" s="28" t="n">
        <x:v>30</x:v>
      </x:c>
      <x:c r="K393" s="26" t="n">
        <x:v>732</x:v>
      </x:c>
      <x:c r="L393" s="26" t="n">
        <x:v>0</x:v>
      </x:c>
      <x:c r="M393" s="26" t="n">
        <x:v>0</x:v>
      </x:c>
      <x:c r="N393" s="26" t="n">
        <x:f>SUM(K393:M393)</x:f>
        <x:v>732</x:v>
      </x:c>
      <x:c r="O393" s="25" t="str">
        <x:v>2024-11-01_02-279136.pdf</x:v>
      </x:c>
      <x:c r="P393" s="28" t="n">
        <x:v>1</x:v>
      </x:c>
      <x:c r="Q393" s="29" t="str">
        <x:v>Ingen amorteringsrad redovisas på avin.</x:v>
      </x:c>
    </x:row>
    <x:row r="394">
      <x:c r="A394" s="24" t="n">
        <x:v>45627</x:v>
      </x:c>
      <x:c r="B394" s="25" t="str">
        <x:v>Bolån</x:v>
      </x:c>
      <x:c r="C394" s="25" t="str">
        <x:v>Stadshypotek AB</x:v>
      </x:c>
      <x:c r="D394" s="25" t="str">
        <x:v>02-279136</x:v>
      </x:c>
      <x:c r="E394" s="25" t="str">
        <x:v>821824</x:v>
      </x:c>
      <x:c r="F394" s="29" t="str">
        <x:v>HSB Brf Siljan i Stockholm, lgh 178</x:v>
      </x:c>
      <x:c r="G394" s="26" t="n">
        <x:v>160000</x:v>
      </x:c>
      <x:c r="H394" s="27" t="n">
        <x:v>0.054900000000000004</x:v>
      </x:c>
      <x:c r="I394" s="24" t="n">
        <x:v>45597</x:v>
      </x:c>
      <x:c r="J394" s="28" t="n">
        <x:v>30</x:v>
      </x:c>
      <x:c r="K394" s="26" t="n">
        <x:v>732</x:v>
      </x:c>
      <x:c r="L394" s="26" t="n">
        <x:v>0</x:v>
      </x:c>
      <x:c r="M394" s="26" t="n">
        <x:v>0</x:v>
      </x:c>
      <x:c r="N394" s="26" t="n">
        <x:f>SUM(K394:M394)</x:f>
        <x:v>732</x:v>
      </x:c>
      <x:c r="O394" s="25" t="str">
        <x:v>2024-12-01_02-279136.pdf</x:v>
      </x:c>
      <x:c r="P394" s="28" t="n">
        <x:v>1</x:v>
      </x:c>
      <x:c r="Q394" s="29" t="str">
        <x:v>Ingen amorteringsrad redovisas på avin.</x:v>
      </x:c>
    </x:row>
    <x:row r="395">
      <x:c r="A395" s="24" t="n">
        <x:v>45658</x:v>
      </x:c>
      <x:c r="B395" s="25" t="str">
        <x:v>Bolån</x:v>
      </x:c>
      <x:c r="C395" s="25" t="str">
        <x:v>Stadshypotek AB</x:v>
      </x:c>
      <x:c r="D395" s="25" t="str">
        <x:v>02-279136</x:v>
      </x:c>
      <x:c r="E395" s="25" t="str">
        <x:v>821824</x:v>
      </x:c>
      <x:c r="F395" s="29" t="str">
        <x:v>HSB Brf Siljan i Stockholm, lgh 178</x:v>
      </x:c>
      <x:c r="G395" s="26" t="n">
        <x:v>160000</x:v>
      </x:c>
      <x:c r="H395" s="27" t="n">
        <x:v>0.0479</x:v>
      </x:c>
      <x:c r="I395" s="24" t="n">
        <x:v>45627</x:v>
      </x:c>
      <x:c r="J395" s="28" t="n">
        <x:v>30</x:v>
      </x:c>
      <x:c r="K395" s="26" t="n">
        <x:v>639</x:v>
      </x:c>
      <x:c r="L395" s="26" t="n">
        <x:v>0</x:v>
      </x:c>
      <x:c r="M395" s="26" t="n">
        <x:v>0</x:v>
      </x:c>
      <x:c r="N395" s="26" t="n">
        <x:f>SUM(K395:M395)</x:f>
        <x:v>639</x:v>
      </x:c>
      <x:c r="O395" s="25" t="str">
        <x:v>2025-01-01_02-279136.pdf</x:v>
      </x:c>
      <x:c r="P395" s="28" t="n">
        <x:v>1</x:v>
      </x:c>
      <x:c r="Q395" s="29" t="str">
        <x:v>Ingen amorteringsrad redovisas på avin.</x:v>
      </x:c>
    </x:row>
    <x:row r="396">
      <x:c r="A396" s="24" t="n">
        <x:v>45689</x:v>
      </x:c>
      <x:c r="B396" s="25" t="str">
        <x:v>Bolån</x:v>
      </x:c>
      <x:c r="C396" s="25" t="str">
        <x:v>Stadshypotek AB</x:v>
      </x:c>
      <x:c r="D396" s="25" t="str">
        <x:v>02-279136</x:v>
      </x:c>
      <x:c r="E396" s="25" t="str">
        <x:v>821824</x:v>
      </x:c>
      <x:c r="F396" s="29" t="str">
        <x:v>HSB Brf Siljan i Stockholm, lgh 178</x:v>
      </x:c>
      <x:c r="G396" s="26" t="n">
        <x:v>160000</x:v>
      </x:c>
      <x:c r="H396" s="27" t="n">
        <x:v>0.0479</x:v>
      </x:c>
      <x:c r="I396" s="24" t="n">
        <x:v>45658</x:v>
      </x:c>
      <x:c r="J396" s="28" t="n">
        <x:v>30</x:v>
      </x:c>
      <x:c r="K396" s="26" t="n">
        <x:v>639</x:v>
      </x:c>
      <x:c r="L396" s="26" t="n">
        <x:v>0</x:v>
      </x:c>
      <x:c r="M396" s="26" t="n">
        <x:v>0</x:v>
      </x:c>
      <x:c r="N396" s="26" t="n">
        <x:f>SUM(K396:M396)</x:f>
        <x:v>639</x:v>
      </x:c>
      <x:c r="O396" s="25" t="str">
        <x:v>2025-02-01_02-279136.pdf</x:v>
      </x:c>
      <x:c r="P396" s="28" t="n">
        <x:v>1</x:v>
      </x:c>
      <x:c r="Q396" s="29" t="str">
        <x:v>Ingen amorteringsrad redovisas på avin.</x:v>
      </x:c>
    </x:row>
    <x:row r="397">
      <x:c r="A397" s="24" t="n">
        <x:v>45717</x:v>
      </x:c>
      <x:c r="B397" s="25" t="str">
        <x:v>Bolån</x:v>
      </x:c>
      <x:c r="C397" s="25" t="str">
        <x:v>Stadshypotek AB</x:v>
      </x:c>
      <x:c r="D397" s="25" t="str">
        <x:v>02-279136</x:v>
      </x:c>
      <x:c r="E397" s="25" t="str">
        <x:v>821824</x:v>
      </x:c>
      <x:c r="F397" s="29" t="str">
        <x:v>HSB Brf Siljan i Stockholm, lgh 178</x:v>
      </x:c>
      <x:c r="G397" s="26" t="n">
        <x:v>160000</x:v>
      </x:c>
      <x:c r="H397" s="27" t="n">
        <x:v>0.0479</x:v>
      </x:c>
      <x:c r="I397" s="24" t="n">
        <x:v>45689</x:v>
      </x:c>
      <x:c r="J397" s="28" t="n">
        <x:v>30</x:v>
      </x:c>
      <x:c r="K397" s="26" t="n">
        <x:v>639</x:v>
      </x:c>
      <x:c r="L397" s="26" t="n">
        <x:v>0</x:v>
      </x:c>
      <x:c r="M397" s="26" t="n">
        <x:v>0</x:v>
      </x:c>
      <x:c r="N397" s="26" t="n">
        <x:f>SUM(K397:M397)</x:f>
        <x:v>639</x:v>
      </x:c>
      <x:c r="O397" s="25" t="str">
        <x:v>2025-03-01_02-279136.pdf</x:v>
      </x:c>
      <x:c r="P397" s="28" t="n">
        <x:v>1</x:v>
      </x:c>
      <x:c r="Q397" s="29" t="str">
        <x:v>Ingen amorteringsrad redovisas på avin.</x:v>
      </x:c>
    </x:row>
    <x:row r="398">
      <x:c r="A398" s="24" t="n">
        <x:v>42490</x:v>
      </x:c>
      <x:c r="B398" s="25" t="str">
        <x:v>Bolån</x:v>
      </x:c>
      <x:c r="C398" s="25" t="str">
        <x:v>Stadshypotek AB</x:v>
      </x:c>
      <x:c r="D398" s="25" t="str">
        <x:v>02-438379</x:v>
      </x:c>
      <x:c r="E398" s="25" t="str">
        <x:v>825663</x:v>
      </x:c>
      <x:c r="F398" s="29" t="str">
        <x:v>Brf Fyrhöjden, lgh 27033-0035</x:v>
      </x:c>
      <x:c r="G398" s="26" t="n">
        <x:v>250000</x:v>
      </x:c>
      <x:c r="H398" s="27" t="n">
        <x:v>0.0192</x:v>
      </x:c>
      <x:c r="I398" s="24" t="n">
        <x:v>42459</x:v>
      </x:c>
      <x:c r="J398" s="28" t="n">
        <x:v>30</x:v>
      </x:c>
      <x:c r="K398" s="26" t="n">
        <x:v>400</x:v>
      </x:c>
      <x:c r="L398" s="26" t="n">
        <x:v>0</x:v>
      </x:c>
      <x:c r="M398" s="26" t="n">
        <x:v>0</x:v>
      </x:c>
      <x:c r="N398" s="26" t="n">
        <x:f>SUM(K398:M398)</x:f>
        <x:v>400</x:v>
      </x:c>
      <x:c r="O398" s="25" t="str">
        <x:v>2016-04-30_02-438379.pdf</x:v>
      </x:c>
      <x:c r="P398" s="28" t="n">
        <x:v>1</x:v>
      </x:c>
      <x:c r="Q398" s="29" t="str">
        <x:v>Ingen amorteringsrad redovisas på avin.</x:v>
      </x:c>
    </x:row>
    <x:row r="399">
      <x:c r="A399" s="24" t="n">
        <x:v>42520</x:v>
      </x:c>
      <x:c r="B399" s="25" t="str">
        <x:v>Bolån</x:v>
      </x:c>
      <x:c r="C399" s="25" t="str">
        <x:v>Stadshypotek AB</x:v>
      </x:c>
      <x:c r="D399" s="25" t="str">
        <x:v>02-438379</x:v>
      </x:c>
      <x:c r="E399" s="25" t="str">
        <x:v>825663</x:v>
      </x:c>
      <x:c r="F399" s="29" t="str">
        <x:v>Brf Fyrhöjden, lgh 27033-0035</x:v>
      </x:c>
      <x:c r="G399" s="26" t="n">
        <x:v>250000</x:v>
      </x:c>
      <x:c r="H399" s="27" t="n">
        <x:v>0.0192</x:v>
      </x:c>
      <x:c r="I399" s="24" t="n">
        <x:v>42490</x:v>
      </x:c>
      <x:c r="J399" s="28" t="n">
        <x:v>30</x:v>
      </x:c>
      <x:c r="K399" s="26" t="n">
        <x:v>400</x:v>
      </x:c>
      <x:c r="L399" s="26" t="n">
        <x:v>0</x:v>
      </x:c>
      <x:c r="M399" s="26" t="n">
        <x:v>0</x:v>
      </x:c>
      <x:c r="N399" s="26" t="n">
        <x:f>SUM(K399:M399)</x:f>
        <x:v>400</x:v>
      </x:c>
      <x:c r="O399" s="25" t="str">
        <x:v>2016-05-30_02-438379.pdf</x:v>
      </x:c>
      <x:c r="P399" s="28" t="n">
        <x:v>1</x:v>
      </x:c>
      <x:c r="Q399" s="29" t="str">
        <x:v>Ingen amorteringsrad redovisas på avin.</x:v>
      </x:c>
    </x:row>
    <x:row r="400">
      <x:c r="A400" s="24" t="n">
        <x:v>42551</x:v>
      </x:c>
      <x:c r="B400" s="25" t="str">
        <x:v>Bolån</x:v>
      </x:c>
      <x:c r="C400" s="25" t="str">
        <x:v>Stadshypotek AB</x:v>
      </x:c>
      <x:c r="D400" s="25" t="str">
        <x:v>02-438379</x:v>
      </x:c>
      <x:c r="E400" s="25" t="str">
        <x:v>825663</x:v>
      </x:c>
      <x:c r="F400" s="29" t="str">
        <x:v>Brf Fyrhöjden, lgh 27033-0035</x:v>
      </x:c>
      <x:c r="G400" s="26" t="n">
        <x:v>250000</x:v>
      </x:c>
      <x:c r="H400" s="27" t="n">
        <x:v>0.0192</x:v>
      </x:c>
      <x:c r="I400" s="24" t="n">
        <x:v>42520</x:v>
      </x:c>
      <x:c r="J400" s="28" t="n">
        <x:v>30</x:v>
      </x:c>
      <x:c r="K400" s="26" t="n">
        <x:v>400</x:v>
      </x:c>
      <x:c r="L400" s="26" t="n">
        <x:v>0</x:v>
      </x:c>
      <x:c r="M400" s="26" t="n">
        <x:v>0</x:v>
      </x:c>
      <x:c r="N400" s="26" t="n">
        <x:f>SUM(K400:M400)</x:f>
        <x:v>400</x:v>
      </x:c>
      <x:c r="O400" s="25" t="str">
        <x:v>2016-06-30_02-438379.pdf</x:v>
      </x:c>
      <x:c r="P400" s="28" t="n">
        <x:v>1</x:v>
      </x:c>
      <x:c r="Q400" s="29" t="str">
        <x:v>Ingen amorteringsrad redovisas på avin.</x:v>
      </x:c>
    </x:row>
    <x:row r="401">
      <x:c r="A401" s="24" t="n">
        <x:v>42581</x:v>
      </x:c>
      <x:c r="B401" s="25" t="str">
        <x:v>Bolån</x:v>
      </x:c>
      <x:c r="C401" s="25" t="str">
        <x:v>Stadshypotek AB</x:v>
      </x:c>
      <x:c r="D401" s="25" t="str">
        <x:v>02-438379</x:v>
      </x:c>
      <x:c r="E401" s="25" t="str">
        <x:v>825663</x:v>
      </x:c>
      <x:c r="F401" s="29" t="str">
        <x:v>Brf Fyrhöjden, lgh 27033-0035</x:v>
      </x:c>
      <x:c r="G401" s="26" t="n">
        <x:v>250000</x:v>
      </x:c>
      <x:c r="H401" s="27" t="n">
        <x:v>0.0192</x:v>
      </x:c>
      <x:c r="I401" s="24" t="n">
        <x:v>42551</x:v>
      </x:c>
      <x:c r="J401" s="28" t="n">
        <x:v>30</x:v>
      </x:c>
      <x:c r="K401" s="26" t="n">
        <x:v>400</x:v>
      </x:c>
      <x:c r="L401" s="26" t="n">
        <x:v>0</x:v>
      </x:c>
      <x:c r="M401" s="26" t="n">
        <x:v>0</x:v>
      </x:c>
      <x:c r="N401" s="26" t="n">
        <x:f>SUM(K401:M401)</x:f>
        <x:v>400</x:v>
      </x:c>
      <x:c r="O401" s="25" t="str">
        <x:v>2016-07-30_02-438379.pdf</x:v>
      </x:c>
      <x:c r="P401" s="28" t="n">
        <x:v>1</x:v>
      </x:c>
      <x:c r="Q401" s="29" t="str">
        <x:v>Ingen amorteringsrad redovisas på avin.</x:v>
      </x:c>
    </x:row>
    <x:row r="402">
      <x:c r="A402" s="24" t="n">
        <x:v>42612</x:v>
      </x:c>
      <x:c r="B402" s="25" t="str">
        <x:v>Bolån</x:v>
      </x:c>
      <x:c r="C402" s="25" t="str">
        <x:v>Stadshypotek AB</x:v>
      </x:c>
      <x:c r="D402" s="25" t="str">
        <x:v>02-438379</x:v>
      </x:c>
      <x:c r="E402" s="25" t="str">
        <x:v>825663</x:v>
      </x:c>
      <x:c r="F402" s="29" t="str">
        <x:v>Brf Fyrhöjden, lgh 27033-0035</x:v>
      </x:c>
      <x:c r="G402" s="26" t="n">
        <x:v>250000</x:v>
      </x:c>
      <x:c r="H402" s="27" t="n">
        <x:v>0.0192</x:v>
      </x:c>
      <x:c r="I402" s="24" t="n">
        <x:v>42581</x:v>
      </x:c>
      <x:c r="J402" s="28" t="n">
        <x:v>30</x:v>
      </x:c>
      <x:c r="K402" s="26" t="n">
        <x:v>400</x:v>
      </x:c>
      <x:c r="L402" s="26" t="n">
        <x:v>0</x:v>
      </x:c>
      <x:c r="M402" s="26" t="n">
        <x:v>0</x:v>
      </x:c>
      <x:c r="N402" s="26" t="n">
        <x:f>SUM(K402:M402)</x:f>
        <x:v>400</x:v>
      </x:c>
      <x:c r="O402" s="25" t="str">
        <x:v>2016-08-30_02-438379.pdf</x:v>
      </x:c>
      <x:c r="P402" s="28" t="n">
        <x:v>1</x:v>
      </x:c>
      <x:c r="Q402" s="29" t="str">
        <x:v>Ingen amorteringsrad redovisas på avin.</x:v>
      </x:c>
    </x:row>
    <x:row r="403">
      <x:c r="A403" s="24" t="n">
        <x:v>42643</x:v>
      </x:c>
      <x:c r="B403" s="25" t="str">
        <x:v>Bolån</x:v>
      </x:c>
      <x:c r="C403" s="25" t="str">
        <x:v>Stadshypotek AB</x:v>
      </x:c>
      <x:c r="D403" s="25" t="str">
        <x:v>02-438379</x:v>
      </x:c>
      <x:c r="E403" s="25" t="str">
        <x:v>825663</x:v>
      </x:c>
      <x:c r="F403" s="29" t="str">
        <x:v>Brf Fyrhöjden, lgh 27033-0035</x:v>
      </x:c>
      <x:c r="G403" s="26" t="n">
        <x:v>250000</x:v>
      </x:c>
      <x:c r="H403" s="27" t="n">
        <x:v>0.0192</x:v>
      </x:c>
      <x:c r="I403" s="24" t="n">
        <x:v>42612</x:v>
      </x:c>
      <x:c r="J403" s="28" t="n">
        <x:v>30</x:v>
      </x:c>
      <x:c r="K403" s="26" t="n">
        <x:v>400</x:v>
      </x:c>
      <x:c r="L403" s="26" t="n">
        <x:v>0</x:v>
      </x:c>
      <x:c r="M403" s="26" t="n">
        <x:v>0</x:v>
      </x:c>
      <x:c r="N403" s="26" t="n">
        <x:f>SUM(K403:M403)</x:f>
        <x:v>400</x:v>
      </x:c>
      <x:c r="O403" s="25" t="str">
        <x:v>2016-09-30_02-438379.pdf</x:v>
      </x:c>
      <x:c r="P403" s="28" t="n">
        <x:v>1</x:v>
      </x:c>
      <x:c r="Q403" s="29" t="str">
        <x:v>Ingen amorteringsrad redovisas på avin.</x:v>
      </x:c>
    </x:row>
    <x:row r="404">
      <x:c r="A404" s="24" t="n">
        <x:v>42673</x:v>
      </x:c>
      <x:c r="B404" s="25" t="str">
        <x:v>Bolån</x:v>
      </x:c>
      <x:c r="C404" s="25" t="str">
        <x:v>Stadshypotek AB</x:v>
      </x:c>
      <x:c r="D404" s="25" t="str">
        <x:v>02-438379</x:v>
      </x:c>
      <x:c r="E404" s="25" t="str">
        <x:v>825663</x:v>
      </x:c>
      <x:c r="F404" s="29" t="str">
        <x:v>Brf Fyrhöjden, lgh 27033-0035</x:v>
      </x:c>
      <x:c r="G404" s="26" t="n">
        <x:v>250000</x:v>
      </x:c>
      <x:c r="H404" s="27" t="n">
        <x:v>0.0192</x:v>
      </x:c>
      <x:c r="I404" s="24" t="n">
        <x:v>42643</x:v>
      </x:c>
      <x:c r="J404" s="28" t="n">
        <x:v>30</x:v>
      </x:c>
      <x:c r="K404" s="26" t="n">
        <x:v>400</x:v>
      </x:c>
      <x:c r="L404" s="26" t="n">
        <x:v>0</x:v>
      </x:c>
      <x:c r="M404" s="26" t="n">
        <x:v>0</x:v>
      </x:c>
      <x:c r="N404" s="26" t="n">
        <x:f>SUM(K404:M404)</x:f>
        <x:v>400</x:v>
      </x:c>
      <x:c r="O404" s="25" t="str">
        <x:v>2016-10-30_02-438379.pdf</x:v>
      </x:c>
      <x:c r="P404" s="28" t="n">
        <x:v>1</x:v>
      </x:c>
      <x:c r="Q404" s="29" t="str">
        <x:v>Ingen amorteringsrad redovisas på avin.</x:v>
      </x:c>
    </x:row>
    <x:row r="405">
      <x:c r="A405" s="24" t="n">
        <x:v>42704</x:v>
      </x:c>
      <x:c r="B405" s="25" t="str">
        <x:v>Bolån</x:v>
      </x:c>
      <x:c r="C405" s="25" t="str">
        <x:v>Stadshypotek AB</x:v>
      </x:c>
      <x:c r="D405" s="25" t="str">
        <x:v>02-438379</x:v>
      </x:c>
      <x:c r="E405" s="25" t="str">
        <x:v>825663</x:v>
      </x:c>
      <x:c r="F405" s="29" t="str">
        <x:v>Brf Fyrhöjden, lgh 27033-0035</x:v>
      </x:c>
      <x:c r="G405" s="26" t="n">
        <x:v>250000</x:v>
      </x:c>
      <x:c r="H405" s="27" t="n">
        <x:v>0.0192</x:v>
      </x:c>
      <x:c r="I405" s="24" t="n">
        <x:v>42673</x:v>
      </x:c>
      <x:c r="J405" s="28" t="n">
        <x:v>30</x:v>
      </x:c>
      <x:c r="K405" s="26" t="n">
        <x:v>400</x:v>
      </x:c>
      <x:c r="L405" s="26" t="n">
        <x:v>0</x:v>
      </x:c>
      <x:c r="M405" s="26" t="n">
        <x:v>0</x:v>
      </x:c>
      <x:c r="N405" s="26" t="n">
        <x:f>SUM(K405:M405)</x:f>
        <x:v>400</x:v>
      </x:c>
      <x:c r="O405" s="25" t="str">
        <x:v>2016-11-30_02-438379.pdf</x:v>
      </x:c>
      <x:c r="P405" s="28" t="n">
        <x:v>1</x:v>
      </x:c>
      <x:c r="Q405" s="29" t="str">
        <x:v>Ingen amorteringsrad redovisas på avin.</x:v>
      </x:c>
    </x:row>
    <x:row r="406">
      <x:c r="A406" s="24" t="n">
        <x:v>42734</x:v>
      </x:c>
      <x:c r="B406" s="25" t="str">
        <x:v>Bolån</x:v>
      </x:c>
      <x:c r="C406" s="25" t="str">
        <x:v>Stadshypotek AB</x:v>
      </x:c>
      <x:c r="D406" s="25" t="str">
        <x:v>02-438379</x:v>
      </x:c>
      <x:c r="E406" s="25" t="str">
        <x:v>825663</x:v>
      </x:c>
      <x:c r="F406" s="29" t="str">
        <x:v>Brf Fyrhöjden, lgh 27033-0035</x:v>
      </x:c>
      <x:c r="G406" s="26" t="n">
        <x:v>250000</x:v>
      </x:c>
      <x:c r="H406" s="27" t="n">
        <x:v>0.0192</x:v>
      </x:c>
      <x:c r="I406" s="24" t="n">
        <x:v>42704</x:v>
      </x:c>
      <x:c r="J406" s="28" t="n">
        <x:v>30</x:v>
      </x:c>
      <x:c r="K406" s="26" t="n">
        <x:v>400</x:v>
      </x:c>
      <x:c r="L406" s="26" t="n">
        <x:v>0</x:v>
      </x:c>
      <x:c r="M406" s="26" t="n">
        <x:v>0</x:v>
      </x:c>
      <x:c r="N406" s="26" t="n">
        <x:f>SUM(K406:M406)</x:f>
        <x:v>400</x:v>
      </x:c>
      <x:c r="O406" s="25" t="str">
        <x:v>2016-12-30_02-438379.pdf</x:v>
      </x:c>
      <x:c r="P406" s="28" t="n">
        <x:v>1</x:v>
      </x:c>
      <x:c r="Q406" s="29" t="str">
        <x:v>Ingen amorteringsrad redovisas på avin.</x:v>
      </x:c>
    </x:row>
    <x:row r="407">
      <x:c r="A407" s="24" t="n">
        <x:v>42765</x:v>
      </x:c>
      <x:c r="B407" s="25" t="str">
        <x:v>Bolån</x:v>
      </x:c>
      <x:c r="C407" s="25" t="str">
        <x:v>Stadshypotek AB</x:v>
      </x:c>
      <x:c r="D407" s="25" t="str">
        <x:v>02-438379</x:v>
      </x:c>
      <x:c r="E407" s="25" t="str">
        <x:v>825663</x:v>
      </x:c>
      <x:c r="F407" s="29" t="str">
        <x:v>Brf Fyrhöjden, lgh 27033-0035</x:v>
      </x:c>
      <x:c r="G407" s="26" t="n">
        <x:v>250000</x:v>
      </x:c>
      <x:c r="H407" s="27" t="n">
        <x:v>0.0192</x:v>
      </x:c>
      <x:c r="I407" s="24" t="n">
        <x:v>42734</x:v>
      </x:c>
      <x:c r="J407" s="28" t="n">
        <x:v>30</x:v>
      </x:c>
      <x:c r="K407" s="26" t="n">
        <x:v>400</x:v>
      </x:c>
      <x:c r="L407" s="26" t="n">
        <x:v>0</x:v>
      </x:c>
      <x:c r="M407" s="26" t="n">
        <x:v>0</x:v>
      </x:c>
      <x:c r="N407" s="26" t="n">
        <x:f>SUM(K407:M407)</x:f>
        <x:v>400</x:v>
      </x:c>
      <x:c r="O407" s="25" t="str">
        <x:v>2017-01-30_02-438379.pdf</x:v>
      </x:c>
      <x:c r="P407" s="28" t="n">
        <x:v>1</x:v>
      </x:c>
      <x:c r="Q407" s="29" t="str">
        <x:v>Ingen amorteringsrad redovisas på avin.</x:v>
      </x:c>
    </x:row>
    <x:row r="408">
      <x:c r="A408" s="24" t="n">
        <x:v>42794</x:v>
      </x:c>
      <x:c r="B408" s="25" t="str">
        <x:v>Bolån</x:v>
      </x:c>
      <x:c r="C408" s="25" t="str">
        <x:v>Stadshypotek AB</x:v>
      </x:c>
      <x:c r="D408" s="25" t="str">
        <x:v>02-438379</x:v>
      </x:c>
      <x:c r="E408" s="25" t="str">
        <x:v>825663</x:v>
      </x:c>
      <x:c r="F408" s="29" t="str">
        <x:v>Brf Fyrhöjden, lgh 27033-0035</x:v>
      </x:c>
      <x:c r="G408" s="26" t="n">
        <x:v>250000</x:v>
      </x:c>
      <x:c r="H408" s="27" t="n">
        <x:v>0.0192</x:v>
      </x:c>
      <x:c r="I408" s="24" t="n">
        <x:v>42765</x:v>
      </x:c>
      <x:c r="J408" s="28" t="n">
        <x:v>28</x:v>
      </x:c>
      <x:c r="K408" s="26" t="n">
        <x:v>373</x:v>
      </x:c>
      <x:c r="L408" s="26" t="n">
        <x:v>0</x:v>
      </x:c>
      <x:c r="M408" s="26" t="n">
        <x:v>0</x:v>
      </x:c>
      <x:c r="N408" s="26" t="n">
        <x:f>SUM(K408:M408)</x:f>
        <x:v>373</x:v>
      </x:c>
      <x:c r="O408" s="25" t="str">
        <x:v>2017-02-28_02-438379.pdf</x:v>
      </x:c>
      <x:c r="P408" s="28" t="n">
        <x:v>1</x:v>
      </x:c>
      <x:c r="Q408" s="29" t="str">
        <x:v>Ingen amorteringsrad redovisas på avin.</x:v>
      </x:c>
    </x:row>
    <x:row r="409">
      <x:c r="A409" s="24" t="n">
        <x:v>42824</x:v>
      </x:c>
      <x:c r="B409" s="25" t="str">
        <x:v>Bolån</x:v>
      </x:c>
      <x:c r="C409" s="25" t="str">
        <x:v>Stadshypotek AB</x:v>
      </x:c>
      <x:c r="D409" s="25" t="str">
        <x:v>02-438379</x:v>
      </x:c>
      <x:c r="E409" s="25" t="str">
        <x:v>825663</x:v>
      </x:c>
      <x:c r="F409" s="29" t="str">
        <x:v>Brf Fyrhöjden, lgh 27033-0035</x:v>
      </x:c>
      <x:c r="G409" s="26" t="n">
        <x:v>250000</x:v>
      </x:c>
      <x:c r="H409" s="27" t="n">
        <x:v>0.0192</x:v>
      </x:c>
      <x:c r="I409" s="24" t="n">
        <x:v>42794</x:v>
      </x:c>
      <x:c r="J409" s="28" t="n">
        <x:v>32</x:v>
      </x:c>
      <x:c r="K409" s="26" t="n">
        <x:v>427</x:v>
      </x:c>
      <x:c r="L409" s="26" t="n">
        <x:v>0</x:v>
      </x:c>
      <x:c r="M409" s="26" t="n">
        <x:v>0</x:v>
      </x:c>
      <x:c r="N409" s="26" t="n">
        <x:f>SUM(K409:M409)</x:f>
        <x:v>427</x:v>
      </x:c>
      <x:c r="O409" s="25" t="str">
        <x:v>2017-03-30_02-438379.pdf</x:v>
      </x:c>
      <x:c r="P409" s="28" t="n">
        <x:v>1</x:v>
      </x:c>
      <x:c r="Q409" s="29" t="str">
        <x:v>Ingen amorteringsrad redovisas på avin.</x:v>
      </x:c>
    </x:row>
    <x:row r="410">
      <x:c r="A410" s="24" t="n">
        <x:v>42855</x:v>
      </x:c>
      <x:c r="B410" s="25" t="str">
        <x:v>Bolån</x:v>
      </x:c>
      <x:c r="C410" s="25" t="str">
        <x:v>Stadshypotek AB</x:v>
      </x:c>
      <x:c r="D410" s="25" t="str">
        <x:v>02-438379</x:v>
      </x:c>
      <x:c r="E410" s="25" t="str">
        <x:v>825663</x:v>
      </x:c>
      <x:c r="F410" s="29" t="str">
        <x:v>Brf Fyrhöjden, lgh 27033-0035</x:v>
      </x:c>
      <x:c r="G410" s="26" t="n">
        <x:v>250000</x:v>
      </x:c>
      <x:c r="H410" s="27" t="n">
        <x:v>0.0192</x:v>
      </x:c>
      <x:c r="I410" s="24" t="n">
        <x:v>42824</x:v>
      </x:c>
      <x:c r="J410" s="28" t="n">
        <x:v>30</x:v>
      </x:c>
      <x:c r="K410" s="26" t="n">
        <x:v>400</x:v>
      </x:c>
      <x:c r="L410" s="26" t="n">
        <x:v>0</x:v>
      </x:c>
      <x:c r="M410" s="26" t="n">
        <x:v>0</x:v>
      </x:c>
      <x:c r="N410" s="26" t="n">
        <x:f>SUM(K410:M410)</x:f>
        <x:v>400</x:v>
      </x:c>
      <x:c r="O410" s="25" t="str">
        <x:v>2017-04-30_02-438379.pdf</x:v>
      </x:c>
      <x:c r="P410" s="28" t="n">
        <x:v>1</x:v>
      </x:c>
      <x:c r="Q410" s="29" t="str">
        <x:v>Ingen amorteringsrad redovisas på avin.</x:v>
      </x:c>
    </x:row>
    <x:row r="411">
      <x:c r="A411" s="24" t="n">
        <x:v>42885</x:v>
      </x:c>
      <x:c r="B411" s="25" t="str">
        <x:v>Bolån</x:v>
      </x:c>
      <x:c r="C411" s="25" t="str">
        <x:v>Stadshypotek AB</x:v>
      </x:c>
      <x:c r="D411" s="25" t="str">
        <x:v>02-438379</x:v>
      </x:c>
      <x:c r="E411" s="25" t="str">
        <x:v>825663</x:v>
      </x:c>
      <x:c r="F411" s="29" t="str">
        <x:v>Brf Fyrhöjden, lgh 27033-0035</x:v>
      </x:c>
      <x:c r="G411" s="26" t="n">
        <x:v>250000</x:v>
      </x:c>
      <x:c r="H411" s="27" t="n">
        <x:v>0.0192</x:v>
      </x:c>
      <x:c r="I411" s="24" t="n">
        <x:v>42855</x:v>
      </x:c>
      <x:c r="J411" s="28" t="n">
        <x:v>30</x:v>
      </x:c>
      <x:c r="K411" s="26" t="n">
        <x:v>400</x:v>
      </x:c>
      <x:c r="L411" s="26" t="n">
        <x:v>0</x:v>
      </x:c>
      <x:c r="M411" s="26" t="n">
        <x:v>0</x:v>
      </x:c>
      <x:c r="N411" s="26" t="n">
        <x:f>SUM(K411:M411)</x:f>
        <x:v>400</x:v>
      </x:c>
      <x:c r="O411" s="25" t="str">
        <x:v>2017-05-30_02-438379.pdf</x:v>
      </x:c>
      <x:c r="P411" s="28" t="n">
        <x:v>1</x:v>
      </x:c>
      <x:c r="Q411" s="29" t="str">
        <x:v>Ingen amorteringsrad redovisas på avin.</x:v>
      </x:c>
    </x:row>
    <x:row r="412">
      <x:c r="A412" s="24" t="n">
        <x:v>42916</x:v>
      </x:c>
      <x:c r="B412" s="25" t="str">
        <x:v>Bolån</x:v>
      </x:c>
      <x:c r="C412" s="25" t="str">
        <x:v>Stadshypotek AB</x:v>
      </x:c>
      <x:c r="D412" s="25" t="str">
        <x:v>02-438379</x:v>
      </x:c>
      <x:c r="E412" s="25" t="str">
        <x:v>825663</x:v>
      </x:c>
      <x:c r="F412" s="29" t="str">
        <x:v>Brf Fyrhöjden, lgh 27033-0035</x:v>
      </x:c>
      <x:c r="G412" s="26" t="n">
        <x:v>250000</x:v>
      </x:c>
      <x:c r="H412" s="27" t="n">
        <x:v>0.0192</x:v>
      </x:c>
      <x:c r="I412" s="24" t="n">
        <x:v>42885</x:v>
      </x:c>
      <x:c r="J412" s="28" t="n">
        <x:v>30</x:v>
      </x:c>
      <x:c r="K412" s="26" t="n">
        <x:v>400</x:v>
      </x:c>
      <x:c r="L412" s="26" t="n">
        <x:v>0</x:v>
      </x:c>
      <x:c r="M412" s="26" t="n">
        <x:v>0</x:v>
      </x:c>
      <x:c r="N412" s="26" t="n">
        <x:f>SUM(K412:M412)</x:f>
        <x:v>400</x:v>
      </x:c>
      <x:c r="O412" s="25" t="str">
        <x:v>2017-06-30_02-438379.pdf</x:v>
      </x:c>
      <x:c r="P412" s="28" t="n">
        <x:v>1</x:v>
      </x:c>
      <x:c r="Q412" s="29" t="str">
        <x:v>Ingen amorteringsrad redovisas på avin.</x:v>
      </x:c>
    </x:row>
    <x:row r="413">
      <x:c r="A413" s="24" t="n">
        <x:v>42946</x:v>
      </x:c>
      <x:c r="B413" s="25" t="str">
        <x:v>Bolån</x:v>
      </x:c>
      <x:c r="C413" s="25" t="str">
        <x:v>Stadshypotek AB</x:v>
      </x:c>
      <x:c r="D413" s="25" t="str">
        <x:v>02-438379</x:v>
      </x:c>
      <x:c r="E413" s="25" t="str">
        <x:v>825663</x:v>
      </x:c>
      <x:c r="F413" s="29" t="str">
        <x:v>Brf Fyrhöjden, lgh 27033-0035</x:v>
      </x:c>
      <x:c r="G413" s="26" t="n">
        <x:v>250000</x:v>
      </x:c>
      <x:c r="H413" s="27" t="n">
        <x:v>0.0192</x:v>
      </x:c>
      <x:c r="I413" s="24" t="n">
        <x:v>42916</x:v>
      </x:c>
      <x:c r="J413" s="28" t="n">
        <x:v>30</x:v>
      </x:c>
      <x:c r="K413" s="26" t="n">
        <x:v>400</x:v>
      </x:c>
      <x:c r="L413" s="26" t="n">
        <x:v>0</x:v>
      </x:c>
      <x:c r="M413" s="26" t="n">
        <x:v>0</x:v>
      </x:c>
      <x:c r="N413" s="26" t="n">
        <x:f>SUM(K413:M413)</x:f>
        <x:v>400</x:v>
      </x:c>
      <x:c r="O413" s="25" t="str">
        <x:v>2017-07-30_02-438379.pdf</x:v>
      </x:c>
      <x:c r="P413" s="28" t="n">
        <x:v>1</x:v>
      </x:c>
      <x:c r="Q413" s="29" t="str">
        <x:v>Ingen amorteringsrad redovisas på avin.</x:v>
      </x:c>
    </x:row>
    <x:row r="414">
      <x:c r="A414" s="24" t="n">
        <x:v>42977</x:v>
      </x:c>
      <x:c r="B414" s="25" t="str">
        <x:v>Bolån</x:v>
      </x:c>
      <x:c r="C414" s="25" t="str">
        <x:v>Stadshypotek AB</x:v>
      </x:c>
      <x:c r="D414" s="25" t="str">
        <x:v>02-438379</x:v>
      </x:c>
      <x:c r="E414" s="25" t="str">
        <x:v>825663</x:v>
      </x:c>
      <x:c r="F414" s="29" t="str">
        <x:v>Brf Fyrhöjden, lgh 27033-0035</x:v>
      </x:c>
      <x:c r="G414" s="26" t="n">
        <x:v>250000</x:v>
      </x:c>
      <x:c r="H414" s="27" t="n">
        <x:v>0.0192</x:v>
      </x:c>
      <x:c r="I414" s="24" t="n">
        <x:v>42946</x:v>
      </x:c>
      <x:c r="J414" s="28" t="n">
        <x:v>30</x:v>
      </x:c>
      <x:c r="K414" s="26" t="n">
        <x:v>400</x:v>
      </x:c>
      <x:c r="L414" s="26" t="n">
        <x:v>0</x:v>
      </x:c>
      <x:c r="M414" s="26" t="n">
        <x:v>0</x:v>
      </x:c>
      <x:c r="N414" s="26" t="n">
        <x:f>SUM(K414:M414)</x:f>
        <x:v>400</x:v>
      </x:c>
      <x:c r="O414" s="25" t="str">
        <x:v>2017-08-30_02-438379.pdf</x:v>
      </x:c>
      <x:c r="P414" s="28" t="n">
        <x:v>1</x:v>
      </x:c>
      <x:c r="Q414" s="29" t="str">
        <x:v>Ingen amorteringsrad redovisas på avin.</x:v>
      </x:c>
    </x:row>
    <x:row r="415">
      <x:c r="A415" s="24" t="n">
        <x:v>43008</x:v>
      </x:c>
      <x:c r="B415" s="25" t="str">
        <x:v>Bolån</x:v>
      </x:c>
      <x:c r="C415" s="25" t="str">
        <x:v>Stadshypotek AB</x:v>
      </x:c>
      <x:c r="D415" s="25" t="str">
        <x:v>02-438379</x:v>
      </x:c>
      <x:c r="E415" s="25" t="str">
        <x:v>825663</x:v>
      </x:c>
      <x:c r="F415" s="29" t="str">
        <x:v>Brf Fyrhöjden, lgh 27033-0035</x:v>
      </x:c>
      <x:c r="G415" s="26" t="n">
        <x:v>250000</x:v>
      </x:c>
      <x:c r="H415" s="27" t="n">
        <x:v>0.0192</x:v>
      </x:c>
      <x:c r="I415" s="24" t="n">
        <x:v>42977</x:v>
      </x:c>
      <x:c r="J415" s="28" t="n">
        <x:v>30</x:v>
      </x:c>
      <x:c r="K415" s="26" t="n">
        <x:v>400</x:v>
      </x:c>
      <x:c r="L415" s="26" t="n">
        <x:v>0</x:v>
      </x:c>
      <x:c r="M415" s="26" t="n">
        <x:v>0</x:v>
      </x:c>
      <x:c r="N415" s="26" t="n">
        <x:f>SUM(K415:M415)</x:f>
        <x:v>400</x:v>
      </x:c>
      <x:c r="O415" s="25" t="str">
        <x:v>2017-09-30_02-438379.pdf</x:v>
      </x:c>
      <x:c r="P415" s="28" t="n">
        <x:v>1</x:v>
      </x:c>
      <x:c r="Q415" s="29" t="str">
        <x:v>Ingen amorteringsrad redovisas på avin.</x:v>
      </x:c>
    </x:row>
    <x:row r="416">
      <x:c r="A416" s="24" t="n">
        <x:v>43038</x:v>
      </x:c>
      <x:c r="B416" s="25" t="str">
        <x:v>Bolån</x:v>
      </x:c>
      <x:c r="C416" s="25" t="str">
        <x:v>Stadshypotek AB</x:v>
      </x:c>
      <x:c r="D416" s="25" t="str">
        <x:v>02-438379</x:v>
      </x:c>
      <x:c r="E416" s="25" t="str">
        <x:v>825663</x:v>
      </x:c>
      <x:c r="F416" s="29" t="str">
        <x:v>Brf Fyrhöjden, lgh 27033-0035</x:v>
      </x:c>
      <x:c r="G416" s="26" t="n">
        <x:v>250000</x:v>
      </x:c>
      <x:c r="H416" s="27" t="n">
        <x:v>0.0192</x:v>
      </x:c>
      <x:c r="I416" s="24" t="n">
        <x:v>43008</x:v>
      </x:c>
      <x:c r="J416" s="28" t="n">
        <x:v>30</x:v>
      </x:c>
      <x:c r="K416" s="26" t="n">
        <x:v>400</x:v>
      </x:c>
      <x:c r="L416" s="26" t="n">
        <x:v>0</x:v>
      </x:c>
      <x:c r="M416" s="26" t="n">
        <x:v>0</x:v>
      </x:c>
      <x:c r="N416" s="26" t="n">
        <x:f>SUM(K416:M416)</x:f>
        <x:v>400</x:v>
      </x:c>
      <x:c r="O416" s="25" t="str">
        <x:v>2017-10-30_02-438379.pdf</x:v>
      </x:c>
      <x:c r="P416" s="28" t="n">
        <x:v>1</x:v>
      </x:c>
      <x:c r="Q416" s="29" t="str">
        <x:v>Ingen amorteringsrad redovisas på avin.</x:v>
      </x:c>
    </x:row>
    <x:row r="417">
      <x:c r="A417" s="24" t="n">
        <x:v>43069</x:v>
      </x:c>
      <x:c r="B417" s="25" t="str">
        <x:v>Bolån</x:v>
      </x:c>
      <x:c r="C417" s="25" t="str">
        <x:v>Stadshypotek AB</x:v>
      </x:c>
      <x:c r="D417" s="25" t="str">
        <x:v>02-438379</x:v>
      </x:c>
      <x:c r="E417" s="25" t="str">
        <x:v>825663</x:v>
      </x:c>
      <x:c r="F417" s="29" t="str">
        <x:v>Brf Fyrhöjden, lgh 27033-0035</x:v>
      </x:c>
      <x:c r="G417" s="26" t="n">
        <x:v>250000</x:v>
      </x:c>
      <x:c r="H417" s="27" t="n">
        <x:v>0.0192</x:v>
      </x:c>
      <x:c r="I417" s="24" t="n">
        <x:v>43038</x:v>
      </x:c>
      <x:c r="J417" s="28" t="n">
        <x:v>30</x:v>
      </x:c>
      <x:c r="K417" s="26" t="n">
        <x:v>400</x:v>
      </x:c>
      <x:c r="L417" s="26" t="n">
        <x:v>0</x:v>
      </x:c>
      <x:c r="M417" s="26" t="n">
        <x:v>0</x:v>
      </x:c>
      <x:c r="N417" s="26" t="n">
        <x:f>SUM(K417:M417)</x:f>
        <x:v>400</x:v>
      </x:c>
      <x:c r="O417" s="25" t="str">
        <x:v>2017-11-30_02-438379.pdf</x:v>
      </x:c>
      <x:c r="P417" s="28" t="n">
        <x:v>1</x:v>
      </x:c>
      <x:c r="Q417" s="29" t="str">
        <x:v>Ingen amorteringsrad redovisas på avin.</x:v>
      </x:c>
    </x:row>
    <x:row r="418">
      <x:c r="A418" s="24" t="n">
        <x:v>43099</x:v>
      </x:c>
      <x:c r="B418" s="25" t="str">
        <x:v>Bolån</x:v>
      </x:c>
      <x:c r="C418" s="25" t="str">
        <x:v>Stadshypotek AB</x:v>
      </x:c>
      <x:c r="D418" s="25" t="str">
        <x:v>02-438379</x:v>
      </x:c>
      <x:c r="E418" s="25" t="str">
        <x:v>825663</x:v>
      </x:c>
      <x:c r="F418" s="29" t="str">
        <x:v>Brf Fyrhöjden, lgh 27033-0035</x:v>
      </x:c>
      <x:c r="G418" s="26" t="n">
        <x:v>250000</x:v>
      </x:c>
      <x:c r="H418" s="27" t="n">
        <x:v>0.0192</x:v>
      </x:c>
      <x:c r="I418" s="24" t="n">
        <x:v>43069</x:v>
      </x:c>
      <x:c r="J418" s="28" t="n">
        <x:v>30</x:v>
      </x:c>
      <x:c r="K418" s="26" t="n">
        <x:v>400</x:v>
      </x:c>
      <x:c r="L418" s="26" t="n">
        <x:v>0</x:v>
      </x:c>
      <x:c r="M418" s="26" t="n">
        <x:v>0</x:v>
      </x:c>
      <x:c r="N418" s="26" t="n">
        <x:f>SUM(K418:M418)</x:f>
        <x:v>400</x:v>
      </x:c>
      <x:c r="O418" s="25" t="str">
        <x:v>2017-12-30_02-438379.pdf</x:v>
      </x:c>
      <x:c r="P418" s="28" t="n">
        <x:v>1</x:v>
      </x:c>
      <x:c r="Q418" s="29" t="str">
        <x:v>Ingen amorteringsrad redovisas på avin.</x:v>
      </x:c>
    </x:row>
    <x:row r="419">
      <x:c r="A419" s="24" t="n">
        <x:v>43130</x:v>
      </x:c>
      <x:c r="B419" s="25" t="str">
        <x:v>Bolån</x:v>
      </x:c>
      <x:c r="C419" s="25" t="str">
        <x:v>Stadshypotek AB</x:v>
      </x:c>
      <x:c r="D419" s="25" t="str">
        <x:v>02-438379</x:v>
      </x:c>
      <x:c r="E419" s="25" t="str">
        <x:v>825663</x:v>
      </x:c>
      <x:c r="F419" s="29" t="str">
        <x:v>Brf Fyrhöjden, lgh 27033-0035</x:v>
      </x:c>
      <x:c r="G419" s="26" t="n">
        <x:v>250000</x:v>
      </x:c>
      <x:c r="H419" s="27" t="n">
        <x:v>0.0192</x:v>
      </x:c>
      <x:c r="I419" s="24" t="n">
        <x:v>43099</x:v>
      </x:c>
      <x:c r="J419" s="28" t="n">
        <x:v>30</x:v>
      </x:c>
      <x:c r="K419" s="26" t="n">
        <x:v>400</x:v>
      </x:c>
      <x:c r="L419" s="26" t="n">
        <x:v>0</x:v>
      </x:c>
      <x:c r="M419" s="26" t="n">
        <x:v>0</x:v>
      </x:c>
      <x:c r="N419" s="26" t="n">
        <x:f>SUM(K419:M419)</x:f>
        <x:v>400</x:v>
      </x:c>
      <x:c r="O419" s="25" t="str">
        <x:v>2018-01-30_02-438379.pdf</x:v>
      </x:c>
      <x:c r="P419" s="28" t="n">
        <x:v>1</x:v>
      </x:c>
      <x:c r="Q419" s="29" t="str">
        <x:v>Ingen amorteringsrad redovisas på avin.</x:v>
      </x:c>
    </x:row>
    <x:row r="420">
      <x:c r="A420" s="24" t="n">
        <x:v>43160</x:v>
      </x:c>
      <x:c r="B420" s="25" t="str">
        <x:v>Bolån</x:v>
      </x:c>
      <x:c r="C420" s="25" t="str">
        <x:v>Stadshypotek AB</x:v>
      </x:c>
      <x:c r="D420" s="25" t="str">
        <x:v>02-438379</x:v>
      </x:c>
      <x:c r="E420" s="25" t="str">
        <x:v>825663</x:v>
      </x:c>
      <x:c r="F420" s="29" t="str">
        <x:v>Brf Fyrhöjden, lgh 27033-0035</x:v>
      </x:c>
      <x:c r="G420" s="26" t="n">
        <x:v>250000</x:v>
      </x:c>
      <x:c r="H420" s="27" t="n">
        <x:v>0.0192</x:v>
      </x:c>
      <x:c r="I420" s="24" t="n">
        <x:v>43130</x:v>
      </x:c>
      <x:c r="J420" s="28" t="n">
        <x:v>31</x:v>
      </x:c>
      <x:c r="K420" s="26" t="n">
        <x:v>413</x:v>
      </x:c>
      <x:c r="L420" s="26" t="n">
        <x:v>0</x:v>
      </x:c>
      <x:c r="M420" s="26" t="n">
        <x:v>0</x:v>
      </x:c>
      <x:c r="N420" s="26" t="n">
        <x:f>SUM(K420:M420)</x:f>
        <x:v>413</x:v>
      </x:c>
      <x:c r="O420" s="25" t="str">
        <x:v>2018-03-01_02-438379.pdf</x:v>
      </x:c>
      <x:c r="P420" s="28" t="n">
        <x:v>1</x:v>
      </x:c>
      <x:c r="Q420" s="29" t="str">
        <x:v>Ingen amorteringsrad redovisas på avin.</x:v>
      </x:c>
    </x:row>
    <x:row r="421">
      <x:c r="A421" s="24" t="n">
        <x:v>43191</x:v>
      </x:c>
      <x:c r="B421" s="25" t="str">
        <x:v>Bolån</x:v>
      </x:c>
      <x:c r="C421" s="25" t="str">
        <x:v>Stadshypotek AB</x:v>
      </x:c>
      <x:c r="D421" s="25" t="str">
        <x:v>02-438379</x:v>
      </x:c>
      <x:c r="E421" s="25" t="str">
        <x:v>84013</x:v>
      </x:c>
      <x:c r="F421" s="29" t="str">
        <x:v>Brf Fyrhöjden, lgh 27033-0035</x:v>
      </x:c>
      <x:c r="G421" s="26" t="n">
        <x:v>250000</x:v>
      </x:c>
      <x:c r="H421" s="27" t="n">
        <x:v>0.020499999999999997</x:v>
      </x:c>
      <x:c r="I421" s="24" t="n">
        <x:v>43160</x:v>
      </x:c>
      <x:c r="J421" s="28" t="n">
        <x:v>30</x:v>
      </x:c>
      <x:c r="K421" s="26" t="n">
        <x:v>427</x:v>
      </x:c>
      <x:c r="L421" s="26" t="n">
        <x:v>0</x:v>
      </x:c>
      <x:c r="M421" s="26" t="n">
        <x:v>0</x:v>
      </x:c>
      <x:c r="N421" s="26" t="n">
        <x:f>SUM(K421:M421)</x:f>
        <x:v>427</x:v>
      </x:c>
      <x:c r="O421" s="25" t="str">
        <x:v>2018-04-01_02-438379.pdf</x:v>
      </x:c>
      <x:c r="P421" s="28" t="n">
        <x:v>1</x:v>
      </x:c>
      <x:c r="Q421" s="29" t="str">
        <x:v>Ingen amorteringsrad redovisas på avin.</x:v>
      </x:c>
    </x:row>
    <x:row r="422">
      <x:c r="A422" s="24" t="n">
        <x:v>43221</x:v>
      </x:c>
      <x:c r="B422" s="25" t="str">
        <x:v>Bolån</x:v>
      </x:c>
      <x:c r="C422" s="25" t="str">
        <x:v>Stadshypotek AB</x:v>
      </x:c>
      <x:c r="D422" s="25" t="str">
        <x:v>02-438379</x:v>
      </x:c>
      <x:c r="E422" s="25" t="str">
        <x:v>84013</x:v>
      </x:c>
      <x:c r="F422" s="29" t="str">
        <x:v>Brf Fyrhöjden, lgh 27033-0035</x:v>
      </x:c>
      <x:c r="G422" s="26" t="n">
        <x:v>250000</x:v>
      </x:c>
      <x:c r="H422" s="27" t="n">
        <x:v>0.020499999999999997</x:v>
      </x:c>
      <x:c r="I422" s="24" t="n">
        <x:v>43191</x:v>
      </x:c>
      <x:c r="J422" s="28" t="n">
        <x:v>30</x:v>
      </x:c>
      <x:c r="K422" s="26" t="n">
        <x:v>427</x:v>
      </x:c>
      <x:c r="L422" s="26" t="n">
        <x:v>0</x:v>
      </x:c>
      <x:c r="M422" s="26" t="n">
        <x:v>0</x:v>
      </x:c>
      <x:c r="N422" s="26" t="n">
        <x:f>SUM(K422:M422)</x:f>
        <x:v>427</x:v>
      </x:c>
      <x:c r="O422" s="25" t="str">
        <x:v>2018-05-01_02-438379.pdf</x:v>
      </x:c>
      <x:c r="P422" s="28" t="n">
        <x:v>1</x:v>
      </x:c>
      <x:c r="Q422" s="29" t="str">
        <x:v>Ingen amorteringsrad redovisas på avin.</x:v>
      </x:c>
    </x:row>
    <x:row r="423">
      <x:c r="A423" s="24" t="n">
        <x:v>43252</x:v>
      </x:c>
      <x:c r="B423" s="25" t="str">
        <x:v>Bolån</x:v>
      </x:c>
      <x:c r="C423" s="25" t="str">
        <x:v>Stadshypotek AB</x:v>
      </x:c>
      <x:c r="D423" s="25" t="str">
        <x:v>02-438379</x:v>
      </x:c>
      <x:c r="E423" s="25" t="str">
        <x:v>84013</x:v>
      </x:c>
      <x:c r="F423" s="29" t="str">
        <x:v>Brf Fyrhöjden, lgh 27033-0035</x:v>
      </x:c>
      <x:c r="G423" s="26" t="n">
        <x:v>250000</x:v>
      </x:c>
      <x:c r="H423" s="27" t="n">
        <x:v>0.020499999999999997</x:v>
      </x:c>
      <x:c r="I423" s="24" t="n">
        <x:v>43221</x:v>
      </x:c>
      <x:c r="J423" s="28" t="n">
        <x:v>30</x:v>
      </x:c>
      <x:c r="K423" s="26" t="n">
        <x:v>427</x:v>
      </x:c>
      <x:c r="L423" s="26" t="n">
        <x:v>0</x:v>
      </x:c>
      <x:c r="M423" s="26" t="n">
        <x:v>0</x:v>
      </x:c>
      <x:c r="N423" s="26" t="n">
        <x:f>SUM(K423:M423)</x:f>
        <x:v>427</x:v>
      </x:c>
      <x:c r="O423" s="25" t="str">
        <x:v>2018-06-01_02-438379.pdf</x:v>
      </x:c>
      <x:c r="P423" s="28" t="n">
        <x:v>1</x:v>
      </x:c>
      <x:c r="Q423" s="29" t="str">
        <x:v>Ingen amorteringsrad redovisas på avin.</x:v>
      </x:c>
    </x:row>
    <x:row r="424">
      <x:c r="A424" s="24" t="n">
        <x:v>43282</x:v>
      </x:c>
      <x:c r="B424" s="25" t="str">
        <x:v>Bolån</x:v>
      </x:c>
      <x:c r="C424" s="25" t="str">
        <x:v>Stadshypotek AB</x:v>
      </x:c>
      <x:c r="D424" s="25" t="str">
        <x:v>02-438379</x:v>
      </x:c>
      <x:c r="E424" s="25" t="str">
        <x:v>84013</x:v>
      </x:c>
      <x:c r="F424" s="29" t="str">
        <x:v>Brf Fyrhöjden, lgh 27033-0035</x:v>
      </x:c>
      <x:c r="G424" s="26" t="n">
        <x:v>250000</x:v>
      </x:c>
      <x:c r="H424" s="27" t="n">
        <x:v>0.020499999999999997</x:v>
      </x:c>
      <x:c r="I424" s="24" t="n">
        <x:v>43252</x:v>
      </x:c>
      <x:c r="J424" s="28" t="n">
        <x:v>30</x:v>
      </x:c>
      <x:c r="K424" s="26" t="n">
        <x:v>427</x:v>
      </x:c>
      <x:c r="L424" s="26" t="n">
        <x:v>0</x:v>
      </x:c>
      <x:c r="M424" s="26" t="n">
        <x:v>0</x:v>
      </x:c>
      <x:c r="N424" s="26" t="n">
        <x:f>SUM(K424:M424)</x:f>
        <x:v>427</x:v>
      </x:c>
      <x:c r="O424" s="25" t="str">
        <x:v>2018-07-01_02-438379.pdf</x:v>
      </x:c>
      <x:c r="P424" s="28" t="n">
        <x:v>1</x:v>
      </x:c>
      <x:c r="Q424" s="29" t="str">
        <x:v>Ingen amorteringsrad redovisas på avin.</x:v>
      </x:c>
    </x:row>
    <x:row r="425">
      <x:c r="A425" s="24" t="n">
        <x:v>43313</x:v>
      </x:c>
      <x:c r="B425" s="25" t="str">
        <x:v>Bolån</x:v>
      </x:c>
      <x:c r="C425" s="25" t="str">
        <x:v>Stadshypotek AB</x:v>
      </x:c>
      <x:c r="D425" s="25" t="str">
        <x:v>02-438379</x:v>
      </x:c>
      <x:c r="E425" s="25" t="str">
        <x:v>84013</x:v>
      </x:c>
      <x:c r="F425" s="29" t="str">
        <x:v>Brf Fyrhöjden, lgh 27033-0035</x:v>
      </x:c>
      <x:c r="G425" s="26" t="n">
        <x:v>250000</x:v>
      </x:c>
      <x:c r="H425" s="27" t="n">
        <x:v>0.020499999999999997</x:v>
      </x:c>
      <x:c r="I425" s="24" t="n">
        <x:v>43282</x:v>
      </x:c>
      <x:c r="J425" s="28" t="n">
        <x:v>30</x:v>
      </x:c>
      <x:c r="K425" s="26" t="n">
        <x:v>427</x:v>
      </x:c>
      <x:c r="L425" s="26" t="n">
        <x:v>0</x:v>
      </x:c>
      <x:c r="M425" s="26" t="n">
        <x:v>0</x:v>
      </x:c>
      <x:c r="N425" s="26" t="n">
        <x:f>SUM(K425:M425)</x:f>
        <x:v>427</x:v>
      </x:c>
      <x:c r="O425" s="25" t="str">
        <x:v>2018-08-01_02-438379.pdf</x:v>
      </x:c>
      <x:c r="P425" s="28" t="n">
        <x:v>1</x:v>
      </x:c>
      <x:c r="Q425" s="29" t="str">
        <x:v>Ingen amorteringsrad redovisas på avin.</x:v>
      </x:c>
    </x:row>
    <x:row r="426">
      <x:c r="A426" s="24" t="n">
        <x:v>43344</x:v>
      </x:c>
      <x:c r="B426" s="25" t="str">
        <x:v>Bolån</x:v>
      </x:c>
      <x:c r="C426" s="25" t="str">
        <x:v>Stadshypotek AB</x:v>
      </x:c>
      <x:c r="D426" s="25" t="str">
        <x:v>02-438379</x:v>
      </x:c>
      <x:c r="E426" s="25" t="str">
        <x:v>84013</x:v>
      </x:c>
      <x:c r="F426" s="29" t="str">
        <x:v>Brf Fyrhöjden, lgh 27033-0035</x:v>
      </x:c>
      <x:c r="G426" s="26" t="n">
        <x:v>250000</x:v>
      </x:c>
      <x:c r="H426" s="27" t="n">
        <x:v>0.020499999999999997</x:v>
      </x:c>
      <x:c r="I426" s="24" t="n">
        <x:v>43313</x:v>
      </x:c>
      <x:c r="J426" s="28" t="n">
        <x:v>30</x:v>
      </x:c>
      <x:c r="K426" s="26" t="n">
        <x:v>427</x:v>
      </x:c>
      <x:c r="L426" s="26" t="n">
        <x:v>0</x:v>
      </x:c>
      <x:c r="M426" s="26" t="n">
        <x:v>0</x:v>
      </x:c>
      <x:c r="N426" s="26" t="n">
        <x:f>SUM(K426:M426)</x:f>
        <x:v>427</x:v>
      </x:c>
      <x:c r="O426" s="25" t="str">
        <x:v>2018-09-01_02-438379.pdf</x:v>
      </x:c>
      <x:c r="P426" s="28" t="n">
        <x:v>1</x:v>
      </x:c>
      <x:c r="Q426" s="29" t="str">
        <x:v>Ingen amorteringsrad redovisas på avin.</x:v>
      </x:c>
    </x:row>
    <x:row r="427">
      <x:c r="A427" s="24" t="n">
        <x:v>43374</x:v>
      </x:c>
      <x:c r="B427" s="25" t="str">
        <x:v>Bolån</x:v>
      </x:c>
      <x:c r="C427" s="25" t="str">
        <x:v>Stadshypotek AB</x:v>
      </x:c>
      <x:c r="D427" s="25" t="str">
        <x:v>02-438379</x:v>
      </x:c>
      <x:c r="E427" s="25" t="str">
        <x:v>84013</x:v>
      </x:c>
      <x:c r="F427" s="29" t="str">
        <x:v>Brf Fyrhöjden, lgh 27033-0035</x:v>
      </x:c>
      <x:c r="G427" s="26" t="n">
        <x:v>250000</x:v>
      </x:c>
      <x:c r="H427" s="27" t="n">
        <x:v>0.020499999999999997</x:v>
      </x:c>
      <x:c r="I427" s="24" t="n">
        <x:v>43344</x:v>
      </x:c>
      <x:c r="J427" s="28" t="n">
        <x:v>30</x:v>
      </x:c>
      <x:c r="K427" s="26" t="n">
        <x:v>427</x:v>
      </x:c>
      <x:c r="L427" s="26" t="n">
        <x:v>0</x:v>
      </x:c>
      <x:c r="M427" s="26" t="n">
        <x:v>0</x:v>
      </x:c>
      <x:c r="N427" s="26" t="n">
        <x:f>SUM(K427:M427)</x:f>
        <x:v>427</x:v>
      </x:c>
      <x:c r="O427" s="25" t="str">
        <x:v>2018-10-01_02-438379.pdf</x:v>
      </x:c>
      <x:c r="P427" s="28" t="n">
        <x:v>1</x:v>
      </x:c>
      <x:c r="Q427" s="29" t="str">
        <x:v>Ingen amorteringsrad redovisas på avin.</x:v>
      </x:c>
    </x:row>
    <x:row r="428">
      <x:c r="A428" s="24" t="n">
        <x:v>43405</x:v>
      </x:c>
      <x:c r="B428" s="25" t="str">
        <x:v>Bolån</x:v>
      </x:c>
      <x:c r="C428" s="25" t="str">
        <x:v>Stadshypotek AB</x:v>
      </x:c>
      <x:c r="D428" s="25" t="str">
        <x:v>02-438379</x:v>
      </x:c>
      <x:c r="E428" s="25" t="str">
        <x:v>84013</x:v>
      </x:c>
      <x:c r="F428" s="29" t="str">
        <x:v>Brf Fyrhöjden, lgh 27033-0035</x:v>
      </x:c>
      <x:c r="G428" s="26" t="n">
        <x:v>250000</x:v>
      </x:c>
      <x:c r="H428" s="27" t="n">
        <x:v>0.020499999999999997</x:v>
      </x:c>
      <x:c r="I428" s="24" t="n">
        <x:v>43374</x:v>
      </x:c>
      <x:c r="J428" s="28" t="n">
        <x:v>30</x:v>
      </x:c>
      <x:c r="K428" s="26" t="n">
        <x:v>427</x:v>
      </x:c>
      <x:c r="L428" s="26" t="n">
        <x:v>0</x:v>
      </x:c>
      <x:c r="M428" s="26" t="n">
        <x:v>0</x:v>
      </x:c>
      <x:c r="N428" s="26" t="n">
        <x:f>SUM(K428:M428)</x:f>
        <x:v>427</x:v>
      </x:c>
      <x:c r="O428" s="25" t="str">
        <x:v>2018-11-01_02-438379.pdf</x:v>
      </x:c>
      <x:c r="P428" s="28" t="n">
        <x:v>1</x:v>
      </x:c>
      <x:c r="Q428" s="29" t="str">
        <x:v>Ingen amorteringsrad redovisas på avin.</x:v>
      </x:c>
    </x:row>
    <x:row r="429">
      <x:c r="A429" s="24" t="n">
        <x:v>43435</x:v>
      </x:c>
      <x:c r="B429" s="25" t="str">
        <x:v>Bolån</x:v>
      </x:c>
      <x:c r="C429" s="25" t="str">
        <x:v>Stadshypotek AB</x:v>
      </x:c>
      <x:c r="D429" s="25" t="str">
        <x:v>02-438379</x:v>
      </x:c>
      <x:c r="E429" s="25" t="str">
        <x:v>84013</x:v>
      </x:c>
      <x:c r="F429" s="29" t="str">
        <x:v>Brf Fyrhöjden, lgh 27033-0035</x:v>
      </x:c>
      <x:c r="G429" s="26" t="n">
        <x:v>250000</x:v>
      </x:c>
      <x:c r="H429" s="27" t="n">
        <x:v>0.020499999999999997</x:v>
      </x:c>
      <x:c r="I429" s="24" t="n">
        <x:v>43405</x:v>
      </x:c>
      <x:c r="J429" s="28" t="n">
        <x:v>30</x:v>
      </x:c>
      <x:c r="K429" s="26" t="n">
        <x:v>427</x:v>
      </x:c>
      <x:c r="L429" s="26" t="n">
        <x:v>0</x:v>
      </x:c>
      <x:c r="M429" s="26" t="n">
        <x:v>0</x:v>
      </x:c>
      <x:c r="N429" s="26" t="n">
        <x:f>SUM(K429:M429)</x:f>
        <x:v>427</x:v>
      </x:c>
      <x:c r="O429" s="25" t="str">
        <x:v>2018-12-01_02-438379.pdf</x:v>
      </x:c>
      <x:c r="P429" s="28" t="n">
        <x:v>1</x:v>
      </x:c>
      <x:c r="Q429" s="29" t="str">
        <x:v>Ingen amorteringsrad redovisas på avin.</x:v>
      </x:c>
    </x:row>
    <x:row r="430">
      <x:c r="A430" s="24" t="n">
        <x:v>43466</x:v>
      </x:c>
      <x:c r="B430" s="25" t="str">
        <x:v>Bolån</x:v>
      </x:c>
      <x:c r="C430" s="25" t="str">
        <x:v>Stadshypotek AB</x:v>
      </x:c>
      <x:c r="D430" s="25" t="str">
        <x:v>02-438379</x:v>
      </x:c>
      <x:c r="E430" s="25" t="str">
        <x:v>84013</x:v>
      </x:c>
      <x:c r="F430" s="29" t="str">
        <x:v>Brf Fyrhöjden, lgh 27033-0035</x:v>
      </x:c>
      <x:c r="G430" s="26" t="n">
        <x:v>250000</x:v>
      </x:c>
      <x:c r="H430" s="27" t="n">
        <x:v>0.020499999999999997</x:v>
      </x:c>
      <x:c r="I430" s="24" t="n">
        <x:v>43435</x:v>
      </x:c>
      <x:c r="J430" s="28" t="n">
        <x:v>30</x:v>
      </x:c>
      <x:c r="K430" s="26" t="n">
        <x:v>427</x:v>
      </x:c>
      <x:c r="L430" s="26" t="n">
        <x:v>0</x:v>
      </x:c>
      <x:c r="M430" s="26" t="n">
        <x:v>0</x:v>
      </x:c>
      <x:c r="N430" s="26" t="n">
        <x:f>SUM(K430:M430)</x:f>
        <x:v>427</x:v>
      </x:c>
      <x:c r="O430" s="25" t="str">
        <x:v>2019-01-01_02-438379.pdf</x:v>
      </x:c>
      <x:c r="P430" s="28" t="n">
        <x:v>1</x:v>
      </x:c>
      <x:c r="Q430" s="29" t="str">
        <x:v>Ingen amorteringsrad redovisas på avin.</x:v>
      </x:c>
    </x:row>
    <x:row r="431">
      <x:c r="A431" s="24" t="n">
        <x:v>43497</x:v>
      </x:c>
      <x:c r="B431" s="25" t="str">
        <x:v>Bolån</x:v>
      </x:c>
      <x:c r="C431" s="25" t="str">
        <x:v>Stadshypotek AB</x:v>
      </x:c>
      <x:c r="D431" s="25" t="str">
        <x:v>02-438379</x:v>
      </x:c>
      <x:c r="E431" s="25" t="str">
        <x:v>84013</x:v>
      </x:c>
      <x:c r="F431" s="29" t="str">
        <x:v>Brf Fyrhöjden, lgh 27033-0035</x:v>
      </x:c>
      <x:c r="G431" s="26" t="n">
        <x:v>250000</x:v>
      </x:c>
      <x:c r="H431" s="27" t="n">
        <x:v>0.020499999999999997</x:v>
      </x:c>
      <x:c r="I431" s="24" t="n">
        <x:v>43466</x:v>
      </x:c>
      <x:c r="J431" s="28" t="n">
        <x:v>30</x:v>
      </x:c>
      <x:c r="K431" s="26" t="n">
        <x:v>427</x:v>
      </x:c>
      <x:c r="L431" s="26" t="n">
        <x:v>0</x:v>
      </x:c>
      <x:c r="M431" s="26" t="n">
        <x:v>0</x:v>
      </x:c>
      <x:c r="N431" s="26" t="n">
        <x:f>SUM(K431:M431)</x:f>
        <x:v>427</x:v>
      </x:c>
      <x:c r="O431" s="25" t="str">
        <x:v>2019-02-01_02-438379.pdf</x:v>
      </x:c>
      <x:c r="P431" s="28" t="n">
        <x:v>1</x:v>
      </x:c>
      <x:c r="Q431" s="29" t="str">
        <x:v>Ingen amorteringsrad redovisas på avin.</x:v>
      </x:c>
    </x:row>
    <x:row r="432">
      <x:c r="A432" s="24" t="n">
        <x:v>43525</x:v>
      </x:c>
      <x:c r="B432" s="25" t="str">
        <x:v>Bolån</x:v>
      </x:c>
      <x:c r="C432" s="25" t="str">
        <x:v>Stadshypotek AB</x:v>
      </x:c>
      <x:c r="D432" s="25" t="str">
        <x:v>02-438379</x:v>
      </x:c>
      <x:c r="E432" s="25" t="str">
        <x:v>84013</x:v>
      </x:c>
      <x:c r="F432" s="29" t="str">
        <x:v>Brf Fyrhöjden, lgh 27033-0035</x:v>
      </x:c>
      <x:c r="G432" s="26" t="n">
        <x:v>250000</x:v>
      </x:c>
      <x:c r="H432" s="27" t="n">
        <x:v>0.020499999999999997</x:v>
      </x:c>
      <x:c r="I432" s="24" t="n">
        <x:v>43497</x:v>
      </x:c>
      <x:c r="J432" s="28" t="n">
        <x:v>30</x:v>
      </x:c>
      <x:c r="K432" s="26" t="n">
        <x:v>427</x:v>
      </x:c>
      <x:c r="L432" s="26" t="n">
        <x:v>0</x:v>
      </x:c>
      <x:c r="M432" s="26" t="n">
        <x:v>0</x:v>
      </x:c>
      <x:c r="N432" s="26" t="n">
        <x:f>SUM(K432:M432)</x:f>
        <x:v>427</x:v>
      </x:c>
      <x:c r="O432" s="25" t="str">
        <x:v>2019-03-01_02-438379.pdf</x:v>
      </x:c>
      <x:c r="P432" s="28" t="n">
        <x:v>1</x:v>
      </x:c>
      <x:c r="Q432" s="29" t="str">
        <x:v>Ingen amorteringsrad redovisas på avin.</x:v>
      </x:c>
    </x:row>
    <x:row r="433">
      <x:c r="A433" s="24" t="n">
        <x:v>45742</x:v>
      </x:c>
      <x:c r="B433" s="25" t="str">
        <x:v>Delbetalning</x:v>
      </x:c>
      <x:c r="C433" s="25" t="str">
        <x:v>Hi3G Access AB (Tre)</x:v>
      </x:c>
      <x:c r="D433" s="25" t="str">
        <x:v>Tre kundnr 12343330614</x:v>
      </x:c>
      <x:c r="E433" s="25" t="str">
        <x:v>Samsung S23 128GB Black</x:v>
      </x:c>
      <x:c r="F433" s="29" t="str">
        <x:v>Mobiltelefon, 36 månader</x:v>
      </x:c>
      <x:c r="G433" s="26" t="n">
        <x:v>4800</x:v>
      </x:c>
      <x:c r="H433" s="27"/>
      <x:c r="I433" s="24" t="n">
        <x:v>45689</x:v>
      </x:c>
      <x:c r="J433" s="28"/>
      <x:c r="K433" s="26" t="n">
        <x:v>0</x:v>
      </x:c>
      <x:c r="L433" s="26" t="n">
        <x:v>200</x:v>
      </x:c>
      <x:c r="M433" s="26" t="n">
        <x:v>0</x:v>
      </x:c>
      <x:c r="N433" s="26" t="n">
        <x:f>SUM(K433:M433)</x:f>
        <x:v>200</x:v>
      </x:c>
      <x:c r="O433" s="25" t="str">
        <x:v>3_faktura-526718684628.pdf</x:v>
      </x:c>
      <x:c r="P433" s="28" t="n">
        <x:v>7</x:v>
      </x:c>
      <x:c r="Q433" s="29" t="str">
        <x:v>Delbetalning 12 av 36; ingen separat ränta redovisas.</x:v>
      </x:c>
    </x:row>
    <x:row r="434">
      <x:c r="A434" s="24" t="n">
        <x:v>45957</x:v>
      </x:c>
      <x:c r="B434" s="25" t="str">
        <x:v>Delbetalning</x:v>
      </x:c>
      <x:c r="C434" s="25" t="str">
        <x:v>Hi3G Access AB (Tre)</x:v>
      </x:c>
      <x:c r="D434" s="25" t="str">
        <x:v>Tre kundnr 12343330614</x:v>
      </x:c>
      <x:c r="E434" s="25" t="str">
        <x:v>Samsung S23 128GB Black</x:v>
      </x:c>
      <x:c r="F434" s="29" t="str">
        <x:v>Mobiltelefon, 36 månader</x:v>
      </x:c>
      <x:c r="G434" s="26" t="n">
        <x:v>3400</x:v>
      </x:c>
      <x:c r="H434" s="27"/>
      <x:c r="I434" s="24" t="n">
        <x:v>45901</x:v>
      </x:c>
      <x:c r="J434" s="28"/>
      <x:c r="K434" s="26" t="n">
        <x:v>0</x:v>
      </x:c>
      <x:c r="L434" s="26" t="n">
        <x:v>200</x:v>
      </x:c>
      <x:c r="M434" s="26" t="n">
        <x:v>0</x:v>
      </x:c>
      <x:c r="N434" s="26" t="n">
        <x:f>SUM(K434:M434)</x:f>
        <x:v>200</x:v>
      </x:c>
      <x:c r="O434" s="25" t="str">
        <x:v>3_faktura-527417754324.pdf</x:v>
      </x:c>
      <x:c r="P434" s="28" t="n">
        <x:v>7</x:v>
      </x:c>
      <x:c r="Q434" s="29" t="str">
        <x:v>Delbetalning 19 av 36; ingen separat ränta redovisas.</x:v>
      </x:c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</x:row>
  </x:sheetData>
  <x:pageMargins left="0.7" right="0.7" top="0.75" bottom="0.75" header="0.3" footer="0.3"/>
  <x:tableParts count="1">
    <x:tablePart xmlns:r="http://schemas.openxmlformats.org/officeDocument/2006/relationships" r:id="Rad3adda58b1945c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2" hidden="0" customWidth="1"/>
    <x:col min="2" max="2" width="15" hidden="0" customWidth="1"/>
    <x:col min="3" max="3" width="23" hidden="0" customWidth="1"/>
    <x:col min="4" max="4" width="22" hidden="0" customWidth="1"/>
    <x:col min="5" max="5" width="20" hidden="0" customWidth="1"/>
    <x:col min="6" max="6" width="20" hidden="0" customWidth="1"/>
    <x:col min="7" max="7" width="20" hidden="0" customWidth="1"/>
    <x:col min="8" max="8" width="38" hidden="0" customWidth="1"/>
    <x:col min="9" max="9" width="4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38"/>
    </x:row>
    <x:row r="2">
      <x:c r="A2" s="3" t="str">
        <x:v>Aviöversikt</x:v>
      </x:c>
      <x:c r="B2" s="4"/>
      <x:c r="C2" s="4"/>
      <x:c r="D2" s="4"/>
      <x:c r="E2" s="4"/>
      <x:c r="F2" s="4"/>
      <x:c r="G2" s="4"/>
      <x:c r="H2" s="4"/>
      <x:c r="I2" s="4"/>
    </x:row>
    <x:row r="3">
      <x:c r="A3" s="5" t="str">
        <x:v>Avstämning mellan avins redovisade lånebelopp och summan av de extraherade låneraderna. För Tre ingår bara delbetalningen.</x:v>
      </x:c>
      <x:c r="B3" s="5"/>
      <x:c r="C3" s="5"/>
      <x:c r="D3" s="5"/>
      <x:c r="E3" s="5"/>
      <x:c r="F3" s="5"/>
      <x:c r="G3" s="5"/>
      <x:c r="H3" s="5"/>
      <x:c r="I3" s="5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34" customHeight="1">
      <x:c r="A5" s="17" t="str">
        <x:v>Förfallodag</x:v>
      </x:c>
      <x:c r="B5" s="18" t="str">
        <x:v>Typ</x:v>
      </x:c>
      <x:c r="C5" s="18" t="str">
        <x:v>Långivare</x:v>
      </x:c>
      <x:c r="D5" s="18" t="str">
        <x:v>Referens / faktura</x:v>
      </x:c>
      <x:c r="E5" s="18" t="str">
        <x:v>Redovisad lånedel</x:v>
      </x:c>
      <x:c r="F5" s="18" t="str">
        <x:v>Beräknat från lånerader</x:v>
      </x:c>
      <x:c r="G5" s="18" t="str">
        <x:v>Skillnad</x:v>
      </x:c>
      <x:c r="H5" s="18" t="str">
        <x:v>Källfil</x:v>
      </x:c>
      <x:c r="I5" s="19" t="str">
        <x:v>Kommentar</x:v>
      </x:c>
    </x:row>
    <x:row r="6">
      <x:c r="A6" s="20" t="n">
        <x:v>42490</x:v>
      </x:c>
      <x:c r="B6" s="1" t="str">
        <x:v>Bolån</x:v>
      </x:c>
      <x:c r="C6" s="1" t="str">
        <x:v>Stadshypotek AB</x:v>
      </x:c>
      <x:c r="D6" s="30" t="str">
        <x:v>02-438379</x:v>
      </x:c>
      <x:c r="E6" s="21" t="n">
        <x:v>400</x:v>
      </x:c>
      <x:c r="F6" s="31" t="n">
        <x:f>SUMIF('Lånedetaljer'!$O$6:$O$434,H6,'Lånedetaljer'!$N$6:$N$434)</x:f>
        <x:v>400</x:v>
      </x:c>
      <x:c r="G6" s="21" t="n">
        <x:f>E6-F6</x:f>
        <x:v>0</x:v>
      </x:c>
      <x:c r="H6" s="1" t="str">
        <x:v>2016-04-30_02-438379.pdf</x:v>
      </x:c>
      <x:c r="I6" s="1" t="str"/>
    </x:row>
    <x:row r="7">
      <x:c r="A7" s="20" t="n">
        <x:v>42491</x:v>
      </x:c>
      <x:c r="B7" s="1" t="str">
        <x:v>Bolån</x:v>
      </x:c>
      <x:c r="C7" s="1" t="str">
        <x:v>Stadshypotek AB</x:v>
      </x:c>
      <x:c r="D7" s="30" t="str">
        <x:v>02-279136</x:v>
      </x:c>
      <x:c r="E7" s="21" t="n">
        <x:v>597</x:v>
      </x:c>
      <x:c r="F7" s="31" t="n">
        <x:f>SUMIF('Lånedetaljer'!$O$6:$O$434,H7,'Lånedetaljer'!$N$6:$N$434)</x:f>
        <x:v>597</x:v>
      </x:c>
      <x:c r="G7" s="21" t="n">
        <x:f>E7-F7</x:f>
        <x:v>0</x:v>
      </x:c>
      <x:c r="H7" s="1" t="str">
        <x:v>2016-05-01_02-279136.pdf</x:v>
      </x:c>
      <x:c r="I7" s="1" t="str"/>
    </x:row>
    <x:row r="8">
      <x:c r="A8" s="20" t="n">
        <x:v>42520</x:v>
      </x:c>
      <x:c r="B8" s="1" t="str">
        <x:v>Bolån</x:v>
      </x:c>
      <x:c r="C8" s="1" t="str">
        <x:v>Stadshypotek AB</x:v>
      </x:c>
      <x:c r="D8" s="30" t="str">
        <x:v>02-438379</x:v>
      </x:c>
      <x:c r="E8" s="21" t="n">
        <x:v>400</x:v>
      </x:c>
      <x:c r="F8" s="31" t="n">
        <x:f>SUMIF('Lånedetaljer'!$O$6:$O$434,H8,'Lånedetaljer'!$N$6:$N$434)</x:f>
        <x:v>400</x:v>
      </x:c>
      <x:c r="G8" s="21" t="n">
        <x:f>E8-F8</x:f>
        <x:v>0</x:v>
      </x:c>
      <x:c r="H8" s="1" t="str">
        <x:v>2016-05-30_02-438379.pdf</x:v>
      </x:c>
      <x:c r="I8" s="1" t="str"/>
    </x:row>
    <x:row r="9">
      <x:c r="A9" s="20" t="n">
        <x:v>42522</x:v>
      </x:c>
      <x:c r="B9" s="1" t="str">
        <x:v>Bolån</x:v>
      </x:c>
      <x:c r="C9" s="1" t="str">
        <x:v>Stadshypotek AB</x:v>
      </x:c>
      <x:c r="D9" s="30" t="str">
        <x:v>02-279136</x:v>
      </x:c>
      <x:c r="E9" s="21" t="n">
        <x:v>597</x:v>
      </x:c>
      <x:c r="F9" s="31" t="n">
        <x:f>SUMIF('Lånedetaljer'!$O$6:$O$434,H9,'Lånedetaljer'!$N$6:$N$434)</x:f>
        <x:v>597</x:v>
      </x:c>
      <x:c r="G9" s="21" t="n">
        <x:f>E9-F9</x:f>
        <x:v>0</x:v>
      </x:c>
      <x:c r="H9" s="1" t="str">
        <x:v>2016-06-01_02-279136.pdf</x:v>
      </x:c>
      <x:c r="I9" s="1" t="str"/>
    </x:row>
    <x:row r="10">
      <x:c r="A10" s="20" t="n">
        <x:v>42551</x:v>
      </x:c>
      <x:c r="B10" s="1" t="str">
        <x:v>Bolån</x:v>
      </x:c>
      <x:c r="C10" s="1" t="str">
        <x:v>Stadshypotek AB</x:v>
      </x:c>
      <x:c r="D10" s="30" t="str">
        <x:v>02-438379</x:v>
      </x:c>
      <x:c r="E10" s="21" t="n">
        <x:v>400</x:v>
      </x:c>
      <x:c r="F10" s="31" t="n">
        <x:f>SUMIF('Lånedetaljer'!$O$6:$O$434,H10,'Lånedetaljer'!$N$6:$N$434)</x:f>
        <x:v>400</x:v>
      </x:c>
      <x:c r="G10" s="21" t="n">
        <x:f>E10-F10</x:f>
        <x:v>0</x:v>
      </x:c>
      <x:c r="H10" s="1" t="str">
        <x:v>2016-06-30_02-438379.pdf</x:v>
      </x:c>
      <x:c r="I10" s="1" t="str"/>
    </x:row>
    <x:row r="11">
      <x:c r="A11" s="20" t="n">
        <x:v>42552</x:v>
      </x:c>
      <x:c r="B11" s="1" t="str">
        <x:v>Bolån</x:v>
      </x:c>
      <x:c r="C11" s="1" t="str">
        <x:v>Stadshypotek AB</x:v>
      </x:c>
      <x:c r="D11" s="30" t="str">
        <x:v>02-279136</x:v>
      </x:c>
      <x:c r="E11" s="21" t="n">
        <x:v>606</x:v>
      </x:c>
      <x:c r="F11" s="31" t="n">
        <x:f>SUMIF('Lånedetaljer'!$O$6:$O$434,H11,'Lånedetaljer'!$N$6:$N$434)</x:f>
        <x:v>606</x:v>
      </x:c>
      <x:c r="G11" s="21" t="n">
        <x:f>E11-F11</x:f>
        <x:v>0</x:v>
      </x:c>
      <x:c r="H11" s="1" t="str">
        <x:v>2016-07-01_02-279136.pdf</x:v>
      </x:c>
      <x:c r="I11" s="1" t="str"/>
    </x:row>
    <x:row r="12">
      <x:c r="A12" s="20" t="n">
        <x:v>42581</x:v>
      </x:c>
      <x:c r="B12" s="1" t="str">
        <x:v>Bolån</x:v>
      </x:c>
      <x:c r="C12" s="1" t="str">
        <x:v>Stadshypotek AB</x:v>
      </x:c>
      <x:c r="D12" s="30" t="str">
        <x:v>02-438379</x:v>
      </x:c>
      <x:c r="E12" s="21" t="n">
        <x:v>400</x:v>
      </x:c>
      <x:c r="F12" s="31" t="n">
        <x:f>SUMIF('Lånedetaljer'!$O$6:$O$434,H12,'Lånedetaljer'!$N$6:$N$434)</x:f>
        <x:v>400</x:v>
      </x:c>
      <x:c r="G12" s="21" t="n">
        <x:f>E12-F12</x:f>
        <x:v>0</x:v>
      </x:c>
      <x:c r="H12" s="1" t="str">
        <x:v>2016-07-30_02-438379.pdf</x:v>
      </x:c>
      <x:c r="I12" s="1" t="str"/>
    </x:row>
    <x:row r="13">
      <x:c r="A13" s="20" t="n">
        <x:v>42583</x:v>
      </x:c>
      <x:c r="B13" s="1" t="str">
        <x:v>Bolån</x:v>
      </x:c>
      <x:c r="C13" s="1" t="str">
        <x:v>Stadshypotek AB</x:v>
      </x:c>
      <x:c r="D13" s="30" t="str">
        <x:v>02-279136</x:v>
      </x:c>
      <x:c r="E13" s="21" t="n">
        <x:v>606</x:v>
      </x:c>
      <x:c r="F13" s="31" t="n">
        <x:f>SUMIF('Lånedetaljer'!$O$6:$O$434,H13,'Lånedetaljer'!$N$6:$N$434)</x:f>
        <x:v>606</x:v>
      </x:c>
      <x:c r="G13" s="21" t="n">
        <x:f>E13-F13</x:f>
        <x:v>0</x:v>
      </x:c>
      <x:c r="H13" s="1" t="str">
        <x:v>2016-08-01_02-279136.pdf</x:v>
      </x:c>
      <x:c r="I13" s="1" t="str"/>
    </x:row>
    <x:row r="14">
      <x:c r="A14" s="20" t="n">
        <x:v>42612</x:v>
      </x:c>
      <x:c r="B14" s="1" t="str">
        <x:v>Bolån</x:v>
      </x:c>
      <x:c r="C14" s="1" t="str">
        <x:v>Stadshypotek AB</x:v>
      </x:c>
      <x:c r="D14" s="30" t="str">
        <x:v>02-438379</x:v>
      </x:c>
      <x:c r="E14" s="21" t="n">
        <x:v>400</x:v>
      </x:c>
      <x:c r="F14" s="31" t="n">
        <x:f>SUMIF('Lånedetaljer'!$O$6:$O$434,H14,'Lånedetaljer'!$N$6:$N$434)</x:f>
        <x:v>400</x:v>
      </x:c>
      <x:c r="G14" s="21" t="n">
        <x:f>E14-F14</x:f>
        <x:v>0</x:v>
      </x:c>
      <x:c r="H14" s="1" t="str">
        <x:v>2016-08-30_02-438379.pdf</x:v>
      </x:c>
      <x:c r="I14" s="1" t="str"/>
    </x:row>
    <x:row r="15">
      <x:c r="A15" s="20" t="n">
        <x:v>42614</x:v>
      </x:c>
      <x:c r="B15" s="1" t="str">
        <x:v>Bolån</x:v>
      </x:c>
      <x:c r="C15" s="1" t="str">
        <x:v>Stadshypotek AB</x:v>
      </x:c>
      <x:c r="D15" s="30" t="str">
        <x:v>02-279136</x:v>
      </x:c>
      <x:c r="E15" s="21" t="n">
        <x:v>606</x:v>
      </x:c>
      <x:c r="F15" s="31" t="n">
        <x:f>SUMIF('Lånedetaljer'!$O$6:$O$434,H15,'Lånedetaljer'!$N$6:$N$434)</x:f>
        <x:v>606</x:v>
      </x:c>
      <x:c r="G15" s="21" t="n">
        <x:f>E15-F15</x:f>
        <x:v>0</x:v>
      </x:c>
      <x:c r="H15" s="1" t="str">
        <x:v>2016-09-01_02-279136.pdf</x:v>
      </x:c>
      <x:c r="I15" s="1" t="str"/>
    </x:row>
    <x:row r="16">
      <x:c r="A16" s="20" t="n">
        <x:v>42643</x:v>
      </x:c>
      <x:c r="B16" s="1" t="str">
        <x:v>Bolån</x:v>
      </x:c>
      <x:c r="C16" s="1" t="str">
        <x:v>Stadshypotek AB</x:v>
      </x:c>
      <x:c r="D16" s="30" t="str">
        <x:v>02-438379</x:v>
      </x:c>
      <x:c r="E16" s="21" t="n">
        <x:v>400</x:v>
      </x:c>
      <x:c r="F16" s="31" t="n">
        <x:f>SUMIF('Lånedetaljer'!$O$6:$O$434,H16,'Lånedetaljer'!$N$6:$N$434)</x:f>
        <x:v>400</x:v>
      </x:c>
      <x:c r="G16" s="21" t="n">
        <x:f>E16-F16</x:f>
        <x:v>0</x:v>
      </x:c>
      <x:c r="H16" s="1" t="str">
        <x:v>2016-09-30_02-438379.pdf</x:v>
      </x:c>
      <x:c r="I16" s="1" t="str"/>
    </x:row>
    <x:row r="17">
      <x:c r="A17" s="20" t="n">
        <x:v>42644</x:v>
      </x:c>
      <x:c r="B17" s="1" t="str">
        <x:v>Bolån</x:v>
      </x:c>
      <x:c r="C17" s="1" t="str">
        <x:v>Stadshypotek AB</x:v>
      </x:c>
      <x:c r="D17" s="30" t="str">
        <x:v>02-279136</x:v>
      </x:c>
      <x:c r="E17" s="21" t="n">
        <x:v>606</x:v>
      </x:c>
      <x:c r="F17" s="31" t="n">
        <x:f>SUMIF('Lånedetaljer'!$O$6:$O$434,H17,'Lånedetaljer'!$N$6:$N$434)</x:f>
        <x:v>606</x:v>
      </x:c>
      <x:c r="G17" s="21" t="n">
        <x:f>E17-F17</x:f>
        <x:v>0</x:v>
      </x:c>
      <x:c r="H17" s="1" t="str">
        <x:v>2016-10-01_02-279136.pdf</x:v>
      </x:c>
      <x:c r="I17" s="1" t="str"/>
    </x:row>
    <x:row r="18">
      <x:c r="A18" s="20" t="n">
        <x:v>42673</x:v>
      </x:c>
      <x:c r="B18" s="1" t="str">
        <x:v>Bolån</x:v>
      </x:c>
      <x:c r="C18" s="1" t="str">
        <x:v>Stadshypotek AB</x:v>
      </x:c>
      <x:c r="D18" s="30" t="str">
        <x:v>02-438379</x:v>
      </x:c>
      <x:c r="E18" s="21" t="n">
        <x:v>400</x:v>
      </x:c>
      <x:c r="F18" s="31" t="n">
        <x:f>SUMIF('Lånedetaljer'!$O$6:$O$434,H18,'Lånedetaljer'!$N$6:$N$434)</x:f>
        <x:v>400</x:v>
      </x:c>
      <x:c r="G18" s="21" t="n">
        <x:f>E18-F18</x:f>
        <x:v>0</x:v>
      </x:c>
      <x:c r="H18" s="1" t="str">
        <x:v>2016-10-30_02-438379.pdf</x:v>
      </x:c>
      <x:c r="I18" s="1" t="str"/>
    </x:row>
    <x:row r="19">
      <x:c r="A19" s="20" t="n">
        <x:v>42675</x:v>
      </x:c>
      <x:c r="B19" s="1" t="str">
        <x:v>Bolån</x:v>
      </x:c>
      <x:c r="C19" s="1" t="str">
        <x:v>Stadshypotek AB</x:v>
      </x:c>
      <x:c r="D19" s="30" t="str">
        <x:v>02-279136</x:v>
      </x:c>
      <x:c r="E19" s="21" t="n">
        <x:v>606</x:v>
      </x:c>
      <x:c r="F19" s="31" t="n">
        <x:f>SUMIF('Lånedetaljer'!$O$6:$O$434,H19,'Lånedetaljer'!$N$6:$N$434)</x:f>
        <x:v>606</x:v>
      </x:c>
      <x:c r="G19" s="21" t="n">
        <x:f>E19-F19</x:f>
        <x:v>0</x:v>
      </x:c>
      <x:c r="H19" s="1" t="str">
        <x:v>2016-11-01_02-279136.pdf</x:v>
      </x:c>
      <x:c r="I19" s="1" t="str"/>
    </x:row>
    <x:row r="20">
      <x:c r="A20" s="20" t="n">
        <x:v>42704</x:v>
      </x:c>
      <x:c r="B20" s="1" t="str">
        <x:v>Bolån</x:v>
      </x:c>
      <x:c r="C20" s="1" t="str">
        <x:v>Stadshypotek AB</x:v>
      </x:c>
      <x:c r="D20" s="30" t="str">
        <x:v>02-438379</x:v>
      </x:c>
      <x:c r="E20" s="21" t="n">
        <x:v>400</x:v>
      </x:c>
      <x:c r="F20" s="31" t="n">
        <x:f>SUMIF('Lånedetaljer'!$O$6:$O$434,H20,'Lånedetaljer'!$N$6:$N$434)</x:f>
        <x:v>400</x:v>
      </x:c>
      <x:c r="G20" s="21" t="n">
        <x:f>E20-F20</x:f>
        <x:v>0</x:v>
      </x:c>
      <x:c r="H20" s="1" t="str">
        <x:v>2016-11-30_02-438379.pdf</x:v>
      </x:c>
      <x:c r="I20" s="1" t="str"/>
    </x:row>
    <x:row r="21">
      <x:c r="A21" s="20" t="n">
        <x:v>42705</x:v>
      </x:c>
      <x:c r="B21" s="1" t="str">
        <x:v>Bolån</x:v>
      </x:c>
      <x:c r="C21" s="1" t="str">
        <x:v>Stadshypotek AB</x:v>
      </x:c>
      <x:c r="D21" s="30" t="str">
        <x:v>02-279136</x:v>
      </x:c>
      <x:c r="E21" s="21" t="n">
        <x:v>606</x:v>
      </x:c>
      <x:c r="F21" s="31" t="n">
        <x:f>SUMIF('Lånedetaljer'!$O$6:$O$434,H21,'Lånedetaljer'!$N$6:$N$434)</x:f>
        <x:v>606</x:v>
      </x:c>
      <x:c r="G21" s="21" t="n">
        <x:f>E21-F21</x:f>
        <x:v>0</x:v>
      </x:c>
      <x:c r="H21" s="1" t="str">
        <x:v>2016-12-01_02-279136.pdf</x:v>
      </x:c>
      <x:c r="I21" s="1" t="str"/>
    </x:row>
    <x:row r="22">
      <x:c r="A22" s="20" t="n">
        <x:v>42734</x:v>
      </x:c>
      <x:c r="B22" s="1" t="str">
        <x:v>Bolån</x:v>
      </x:c>
      <x:c r="C22" s="1" t="str">
        <x:v>Stadshypotek AB</x:v>
      </x:c>
      <x:c r="D22" s="30" t="str">
        <x:v>02-438379</x:v>
      </x:c>
      <x:c r="E22" s="21" t="n">
        <x:v>400</x:v>
      </x:c>
      <x:c r="F22" s="31" t="n">
        <x:f>SUMIF('Lånedetaljer'!$O$6:$O$434,H22,'Lånedetaljer'!$N$6:$N$434)</x:f>
        <x:v>400</x:v>
      </x:c>
      <x:c r="G22" s="21" t="n">
        <x:f>E22-F22</x:f>
        <x:v>0</x:v>
      </x:c>
      <x:c r="H22" s="1" t="str">
        <x:v>2016-12-30_02-438379.pdf</x:v>
      </x:c>
      <x:c r="I22" s="1" t="str"/>
    </x:row>
    <x:row r="23">
      <x:c r="A23" s="20" t="n">
        <x:v>42736</x:v>
      </x:c>
      <x:c r="B23" s="1" t="str">
        <x:v>Bolån</x:v>
      </x:c>
      <x:c r="C23" s="1" t="str">
        <x:v>Stadshypotek AB</x:v>
      </x:c>
      <x:c r="D23" s="30" t="str">
        <x:v>02-279136</x:v>
      </x:c>
      <x:c r="E23" s="21" t="n">
        <x:v>606</x:v>
      </x:c>
      <x:c r="F23" s="31" t="n">
        <x:f>SUMIF('Lånedetaljer'!$O$6:$O$434,H23,'Lånedetaljer'!$N$6:$N$434)</x:f>
        <x:v>606</x:v>
      </x:c>
      <x:c r="G23" s="21" t="n">
        <x:f>E23-F23</x:f>
        <x:v>0</x:v>
      </x:c>
      <x:c r="H23" s="1" t="str">
        <x:v>2017-01-01_02-279136.pdf</x:v>
      </x:c>
      <x:c r="I23" s="1" t="str"/>
    </x:row>
    <x:row r="24">
      <x:c r="A24" s="20" t="n">
        <x:v>42765</x:v>
      </x:c>
      <x:c r="B24" s="1" t="str">
        <x:v>Bolån</x:v>
      </x:c>
      <x:c r="C24" s="1" t="str">
        <x:v>Stadshypotek AB</x:v>
      </x:c>
      <x:c r="D24" s="30" t="str">
        <x:v>02-438379</x:v>
      </x:c>
      <x:c r="E24" s="21" t="n">
        <x:v>400</x:v>
      </x:c>
      <x:c r="F24" s="31" t="n">
        <x:f>SUMIF('Lånedetaljer'!$O$6:$O$434,H24,'Lånedetaljer'!$N$6:$N$434)</x:f>
        <x:v>400</x:v>
      </x:c>
      <x:c r="G24" s="21" t="n">
        <x:f>E24-F24</x:f>
        <x:v>0</x:v>
      </x:c>
      <x:c r="H24" s="1" t="str">
        <x:v>2017-01-30_02-438379.pdf</x:v>
      </x:c>
      <x:c r="I24" s="1" t="str"/>
    </x:row>
    <x:row r="25">
      <x:c r="A25" s="20" t="n">
        <x:v>42767</x:v>
      </x:c>
      <x:c r="B25" s="1" t="str">
        <x:v>Bolån</x:v>
      </x:c>
      <x:c r="C25" s="1" t="str">
        <x:v>Stadshypotek AB</x:v>
      </x:c>
      <x:c r="D25" s="30" t="str">
        <x:v>02-279136</x:v>
      </x:c>
      <x:c r="E25" s="21" t="n">
        <x:v>606</x:v>
      </x:c>
      <x:c r="F25" s="31" t="n">
        <x:f>SUMIF('Lånedetaljer'!$O$6:$O$434,H25,'Lånedetaljer'!$N$6:$N$434)</x:f>
        <x:v>606</x:v>
      </x:c>
      <x:c r="G25" s="21" t="n">
        <x:f>E25-F25</x:f>
        <x:v>0</x:v>
      </x:c>
      <x:c r="H25" s="1" t="str">
        <x:v>2017-02-01_02-279136.pdf</x:v>
      </x:c>
      <x:c r="I25" s="1" t="str"/>
    </x:row>
    <x:row r="26">
      <x:c r="A26" s="20" t="n">
        <x:v>42794</x:v>
      </x:c>
      <x:c r="B26" s="1" t="str">
        <x:v>Bolån</x:v>
      </x:c>
      <x:c r="C26" s="1" t="str">
        <x:v>Stadshypotek AB</x:v>
      </x:c>
      <x:c r="D26" s="30" t="str">
        <x:v>02-438379</x:v>
      </x:c>
      <x:c r="E26" s="21" t="n">
        <x:v>373</x:v>
      </x:c>
      <x:c r="F26" s="31" t="n">
        <x:f>SUMIF('Lånedetaljer'!$O$6:$O$434,H26,'Lånedetaljer'!$N$6:$N$434)</x:f>
        <x:v>373</x:v>
      </x:c>
      <x:c r="G26" s="21" t="n">
        <x:f>E26-F26</x:f>
        <x:v>0</x:v>
      </x:c>
      <x:c r="H26" s="1" t="str">
        <x:v>2017-02-28_02-438379.pdf</x:v>
      </x:c>
      <x:c r="I26" s="1" t="str"/>
    </x:row>
    <x:row r="27">
      <x:c r="A27" s="20" t="n">
        <x:v>42795</x:v>
      </x:c>
      <x:c r="B27" s="1" t="str">
        <x:v>Bolån</x:v>
      </x:c>
      <x:c r="C27" s="1" t="str">
        <x:v>Stadshypotek AB</x:v>
      </x:c>
      <x:c r="D27" s="30" t="str">
        <x:v>02-279136</x:v>
      </x:c>
      <x:c r="E27" s="21" t="n">
        <x:v>606</x:v>
      </x:c>
      <x:c r="F27" s="31" t="n">
        <x:f>SUMIF('Lånedetaljer'!$O$6:$O$434,H27,'Lånedetaljer'!$N$6:$N$434)</x:f>
        <x:v>606</x:v>
      </x:c>
      <x:c r="G27" s="21" t="n">
        <x:f>E27-F27</x:f>
        <x:v>0</x:v>
      </x:c>
      <x:c r="H27" s="1" t="str">
        <x:v>2017-03-01_02-279136.pdf</x:v>
      </x:c>
      <x:c r="I27" s="1" t="str"/>
    </x:row>
    <x:row r="28">
      <x:c r="A28" s="20" t="n">
        <x:v>42824</x:v>
      </x:c>
      <x:c r="B28" s="1" t="str">
        <x:v>Bolån</x:v>
      </x:c>
      <x:c r="C28" s="1" t="str">
        <x:v>Stadshypotek AB</x:v>
      </x:c>
      <x:c r="D28" s="30" t="str">
        <x:v>02-438379</x:v>
      </x:c>
      <x:c r="E28" s="21" t="n">
        <x:v>427</x:v>
      </x:c>
      <x:c r="F28" s="31" t="n">
        <x:f>SUMIF('Lånedetaljer'!$O$6:$O$434,H28,'Lånedetaljer'!$N$6:$N$434)</x:f>
        <x:v>427</x:v>
      </x:c>
      <x:c r="G28" s="21" t="n">
        <x:f>E28-F28</x:f>
        <x:v>0</x:v>
      </x:c>
      <x:c r="H28" s="1" t="str">
        <x:v>2017-03-30_02-438379.pdf</x:v>
      </x:c>
      <x:c r="I28" s="1" t="str"/>
    </x:row>
    <x:row r="29">
      <x:c r="A29" s="20" t="n">
        <x:v>42826</x:v>
      </x:c>
      <x:c r="B29" s="1" t="str">
        <x:v>Bolån</x:v>
      </x:c>
      <x:c r="C29" s="1" t="str">
        <x:v>Stadshypotek AB</x:v>
      </x:c>
      <x:c r="D29" s="30" t="str">
        <x:v>02-279136</x:v>
      </x:c>
      <x:c r="E29" s="21" t="n">
        <x:v>606</x:v>
      </x:c>
      <x:c r="F29" s="31" t="n">
        <x:f>SUMIF('Lånedetaljer'!$O$6:$O$434,H29,'Lånedetaljer'!$N$6:$N$434)</x:f>
        <x:v>606</x:v>
      </x:c>
      <x:c r="G29" s="21" t="n">
        <x:f>E29-F29</x:f>
        <x:v>0</x:v>
      </x:c>
      <x:c r="H29" s="1" t="str">
        <x:v>2017-04-01_02-279136.pdf</x:v>
      </x:c>
      <x:c r="I29" s="1" t="str"/>
    </x:row>
    <x:row r="30">
      <x:c r="A30" s="20" t="n">
        <x:v>42855</x:v>
      </x:c>
      <x:c r="B30" s="1" t="str">
        <x:v>Bolån</x:v>
      </x:c>
      <x:c r="C30" s="1" t="str">
        <x:v>Stadshypotek AB</x:v>
      </x:c>
      <x:c r="D30" s="30" t="str">
        <x:v>02-438379</x:v>
      </x:c>
      <x:c r="E30" s="21" t="n">
        <x:v>400</x:v>
      </x:c>
      <x:c r="F30" s="31" t="n">
        <x:f>SUMIF('Lånedetaljer'!$O$6:$O$434,H30,'Lånedetaljer'!$N$6:$N$434)</x:f>
        <x:v>400</x:v>
      </x:c>
      <x:c r="G30" s="21" t="n">
        <x:f>E30-F30</x:f>
        <x:v>0</x:v>
      </x:c>
      <x:c r="H30" s="1" t="str">
        <x:v>2017-04-30_02-438379.pdf</x:v>
      </x:c>
      <x:c r="I30" s="1" t="str"/>
    </x:row>
    <x:row r="31">
      <x:c r="A31" s="20" t="n">
        <x:v>42856</x:v>
      </x:c>
      <x:c r="B31" s="1" t="str">
        <x:v>Bolån</x:v>
      </x:c>
      <x:c r="C31" s="1" t="str">
        <x:v>Stadshypotek AB</x:v>
      </x:c>
      <x:c r="D31" s="30" t="str">
        <x:v>02-279136</x:v>
      </x:c>
      <x:c r="E31" s="21" t="n">
        <x:v>606</x:v>
      </x:c>
      <x:c r="F31" s="31" t="n">
        <x:f>SUMIF('Lånedetaljer'!$O$6:$O$434,H31,'Lånedetaljer'!$N$6:$N$434)</x:f>
        <x:v>606</x:v>
      </x:c>
      <x:c r="G31" s="21" t="n">
        <x:f>E31-F31</x:f>
        <x:v>0</x:v>
      </x:c>
      <x:c r="H31" s="1" t="str">
        <x:v>2017-05-01_02-279136.pdf</x:v>
      </x:c>
      <x:c r="I31" s="1" t="str"/>
    </x:row>
    <x:row r="32">
      <x:c r="A32" s="20" t="n">
        <x:v>42885</x:v>
      </x:c>
      <x:c r="B32" s="1" t="str">
        <x:v>Bolån</x:v>
      </x:c>
      <x:c r="C32" s="1" t="str">
        <x:v>Stadshypotek AB</x:v>
      </x:c>
      <x:c r="D32" s="30" t="str">
        <x:v>02-438379</x:v>
      </x:c>
      <x:c r="E32" s="21" t="n">
        <x:v>400</x:v>
      </x:c>
      <x:c r="F32" s="31" t="n">
        <x:f>SUMIF('Lånedetaljer'!$O$6:$O$434,H32,'Lånedetaljer'!$N$6:$N$434)</x:f>
        <x:v>400</x:v>
      </x:c>
      <x:c r="G32" s="21" t="n">
        <x:f>E32-F32</x:f>
        <x:v>0</x:v>
      </x:c>
      <x:c r="H32" s="1" t="str">
        <x:v>2017-05-30_02-438379.pdf</x:v>
      </x:c>
      <x:c r="I32" s="1" t="str"/>
    </x:row>
    <x:row r="33">
      <x:c r="A33" s="20" t="n">
        <x:v>42887</x:v>
      </x:c>
      <x:c r="B33" s="1" t="str">
        <x:v>Bolån</x:v>
      </x:c>
      <x:c r="C33" s="1" t="str">
        <x:v>Stadshypotek AB</x:v>
      </x:c>
      <x:c r="D33" s="30" t="str">
        <x:v>02-279136</x:v>
      </x:c>
      <x:c r="E33" s="21" t="n">
        <x:v>606</x:v>
      </x:c>
      <x:c r="F33" s="31" t="n">
        <x:f>SUMIF('Lånedetaljer'!$O$6:$O$434,H33,'Lånedetaljer'!$N$6:$N$434)</x:f>
        <x:v>606</x:v>
      </x:c>
      <x:c r="G33" s="21" t="n">
        <x:f>E33-F33</x:f>
        <x:v>0</x:v>
      </x:c>
      <x:c r="H33" s="1" t="str">
        <x:v>2017-06-01_02-279136.pdf</x:v>
      </x:c>
      <x:c r="I33" s="1" t="str"/>
    </x:row>
    <x:row r="34">
      <x:c r="A34" s="20" t="n">
        <x:v>42916</x:v>
      </x:c>
      <x:c r="B34" s="1" t="str">
        <x:v>Bolån</x:v>
      </x:c>
      <x:c r="C34" s="1" t="str">
        <x:v>Stadshypotek AB</x:v>
      </x:c>
      <x:c r="D34" s="30" t="str">
        <x:v>02-438379</x:v>
      </x:c>
      <x:c r="E34" s="21" t="n">
        <x:v>400</x:v>
      </x:c>
      <x:c r="F34" s="31" t="n">
        <x:f>SUMIF('Lånedetaljer'!$O$6:$O$434,H34,'Lånedetaljer'!$N$6:$N$434)</x:f>
        <x:v>400</x:v>
      </x:c>
      <x:c r="G34" s="21" t="n">
        <x:f>E34-F34</x:f>
        <x:v>0</x:v>
      </x:c>
      <x:c r="H34" s="1" t="str">
        <x:v>2017-06-30_02-438379.pdf</x:v>
      </x:c>
      <x:c r="I34" s="1" t="str"/>
    </x:row>
    <x:row r="35">
      <x:c r="A35" s="20" t="n">
        <x:v>42917</x:v>
      </x:c>
      <x:c r="B35" s="1" t="str">
        <x:v>Bolån</x:v>
      </x:c>
      <x:c r="C35" s="1" t="str">
        <x:v>Stadshypotek AB</x:v>
      </x:c>
      <x:c r="D35" s="30" t="str">
        <x:v>02-279136</x:v>
      </x:c>
      <x:c r="E35" s="21" t="n">
        <x:v>606</x:v>
      </x:c>
      <x:c r="F35" s="31" t="n">
        <x:f>SUMIF('Lånedetaljer'!$O$6:$O$434,H35,'Lånedetaljer'!$N$6:$N$434)</x:f>
        <x:v>606</x:v>
      </x:c>
      <x:c r="G35" s="21" t="n">
        <x:f>E35-F35</x:f>
        <x:v>0</x:v>
      </x:c>
      <x:c r="H35" s="1" t="str">
        <x:v>2017-07-01_02-279136.pdf</x:v>
      </x:c>
      <x:c r="I35" s="1" t="str"/>
    </x:row>
    <x:row r="36">
      <x:c r="A36" s="20" t="n">
        <x:v>42946</x:v>
      </x:c>
      <x:c r="B36" s="1" t="str">
        <x:v>Bolån</x:v>
      </x:c>
      <x:c r="C36" s="1" t="str">
        <x:v>Stadshypotek AB</x:v>
      </x:c>
      <x:c r="D36" s="30" t="str">
        <x:v>02-438379</x:v>
      </x:c>
      <x:c r="E36" s="21" t="n">
        <x:v>400</x:v>
      </x:c>
      <x:c r="F36" s="31" t="n">
        <x:f>SUMIF('Lånedetaljer'!$O$6:$O$434,H36,'Lånedetaljer'!$N$6:$N$434)</x:f>
        <x:v>400</x:v>
      </x:c>
      <x:c r="G36" s="21" t="n">
        <x:f>E36-F36</x:f>
        <x:v>0</x:v>
      </x:c>
      <x:c r="H36" s="1" t="str">
        <x:v>2017-07-30_02-438379.pdf</x:v>
      </x:c>
      <x:c r="I36" s="1" t="str"/>
    </x:row>
    <x:row r="37">
      <x:c r="A37" s="20" t="n">
        <x:v>42948</x:v>
      </x:c>
      <x:c r="B37" s="1" t="str">
        <x:v>Bolån</x:v>
      </x:c>
      <x:c r="C37" s="1" t="str">
        <x:v>Stadshypotek AB</x:v>
      </x:c>
      <x:c r="D37" s="30" t="str">
        <x:v>02-279136</x:v>
      </x:c>
      <x:c r="E37" s="21" t="n">
        <x:v>606</x:v>
      </x:c>
      <x:c r="F37" s="31" t="n">
        <x:f>SUMIF('Lånedetaljer'!$O$6:$O$434,H37,'Lånedetaljer'!$N$6:$N$434)</x:f>
        <x:v>606</x:v>
      </x:c>
      <x:c r="G37" s="21" t="n">
        <x:f>E37-F37</x:f>
        <x:v>0</x:v>
      </x:c>
      <x:c r="H37" s="1" t="str">
        <x:v>2017-08-01_02-279136.pdf</x:v>
      </x:c>
      <x:c r="I37" s="1" t="str"/>
    </x:row>
    <x:row r="38">
      <x:c r="A38" s="20" t="n">
        <x:v>42977</x:v>
      </x:c>
      <x:c r="B38" s="1" t="str">
        <x:v>Bolån</x:v>
      </x:c>
      <x:c r="C38" s="1" t="str">
        <x:v>Stadshypotek AB</x:v>
      </x:c>
      <x:c r="D38" s="30" t="str">
        <x:v>02-438379</x:v>
      </x:c>
      <x:c r="E38" s="21" t="n">
        <x:v>400</x:v>
      </x:c>
      <x:c r="F38" s="31" t="n">
        <x:f>SUMIF('Lånedetaljer'!$O$6:$O$434,H38,'Lånedetaljer'!$N$6:$N$434)</x:f>
        <x:v>400</x:v>
      </x:c>
      <x:c r="G38" s="21" t="n">
        <x:f>E38-F38</x:f>
        <x:v>0</x:v>
      </x:c>
      <x:c r="H38" s="1" t="str">
        <x:v>2017-08-30_02-438379.pdf</x:v>
      </x:c>
      <x:c r="I38" s="1" t="str"/>
    </x:row>
    <x:row r="39">
      <x:c r="A39" s="20" t="n">
        <x:v>42979</x:v>
      </x:c>
      <x:c r="B39" s="1" t="str">
        <x:v>Bolån</x:v>
      </x:c>
      <x:c r="C39" s="1" t="str">
        <x:v>Stadshypotek AB</x:v>
      </x:c>
      <x:c r="D39" s="30" t="str">
        <x:v>02-279136</x:v>
      </x:c>
      <x:c r="E39" s="21" t="n">
        <x:v>606</x:v>
      </x:c>
      <x:c r="F39" s="31" t="n">
        <x:f>SUMIF('Lånedetaljer'!$O$6:$O$434,H39,'Lånedetaljer'!$N$6:$N$434)</x:f>
        <x:v>606</x:v>
      </x:c>
      <x:c r="G39" s="21" t="n">
        <x:f>E39-F39</x:f>
        <x:v>0</x:v>
      </x:c>
      <x:c r="H39" s="1" t="str">
        <x:v>2017-09-01_02-279136.pdf</x:v>
      </x:c>
      <x:c r="I39" s="1" t="str"/>
    </x:row>
    <x:row r="40">
      <x:c r="A40" s="20" t="n">
        <x:v>43008</x:v>
      </x:c>
      <x:c r="B40" s="1" t="str">
        <x:v>Bolån</x:v>
      </x:c>
      <x:c r="C40" s="1" t="str">
        <x:v>Stadshypotek AB</x:v>
      </x:c>
      <x:c r="D40" s="30" t="str">
        <x:v>02-438379</x:v>
      </x:c>
      <x:c r="E40" s="21" t="n">
        <x:v>400</x:v>
      </x:c>
      <x:c r="F40" s="31" t="n">
        <x:f>SUMIF('Lånedetaljer'!$O$6:$O$434,H40,'Lånedetaljer'!$N$6:$N$434)</x:f>
        <x:v>400</x:v>
      </x:c>
      <x:c r="G40" s="21" t="n">
        <x:f>E40-F40</x:f>
        <x:v>0</x:v>
      </x:c>
      <x:c r="H40" s="1" t="str">
        <x:v>2017-09-30_02-438379.pdf</x:v>
      </x:c>
      <x:c r="I40" s="1" t="str"/>
    </x:row>
    <x:row r="41">
      <x:c r="A41" s="20" t="n">
        <x:v>43009</x:v>
      </x:c>
      <x:c r="B41" s="1" t="str">
        <x:v>Bolån</x:v>
      </x:c>
      <x:c r="C41" s="1" t="str">
        <x:v>Stadshypotek AB</x:v>
      </x:c>
      <x:c r="D41" s="30" t="str">
        <x:v>02-279136</x:v>
      </x:c>
      <x:c r="E41" s="21" t="n">
        <x:v>606</x:v>
      </x:c>
      <x:c r="F41" s="31" t="n">
        <x:f>SUMIF('Lånedetaljer'!$O$6:$O$434,H41,'Lånedetaljer'!$N$6:$N$434)</x:f>
        <x:v>606</x:v>
      </x:c>
      <x:c r="G41" s="21" t="n">
        <x:f>E41-F41</x:f>
        <x:v>0</x:v>
      </x:c>
      <x:c r="H41" s="1" t="str">
        <x:v>2017-10-01_02-279136.pdf</x:v>
      </x:c>
      <x:c r="I41" s="1" t="str"/>
    </x:row>
    <x:row r="42">
      <x:c r="A42" s="20" t="n">
        <x:v>43038</x:v>
      </x:c>
      <x:c r="B42" s="1" t="str">
        <x:v>Bolån</x:v>
      </x:c>
      <x:c r="C42" s="1" t="str">
        <x:v>Stadshypotek AB</x:v>
      </x:c>
      <x:c r="D42" s="30" t="str">
        <x:v>02-438379</x:v>
      </x:c>
      <x:c r="E42" s="21" t="n">
        <x:v>400</x:v>
      </x:c>
      <x:c r="F42" s="31" t="n">
        <x:f>SUMIF('Lånedetaljer'!$O$6:$O$434,H42,'Lånedetaljer'!$N$6:$N$434)</x:f>
        <x:v>400</x:v>
      </x:c>
      <x:c r="G42" s="21" t="n">
        <x:f>E42-F42</x:f>
        <x:v>0</x:v>
      </x:c>
      <x:c r="H42" s="1" t="str">
        <x:v>2017-10-30_02-438379.pdf</x:v>
      </x:c>
      <x:c r="I42" s="1" t="str"/>
    </x:row>
    <x:row r="43">
      <x:c r="A43" s="20" t="n">
        <x:v>43040</x:v>
      </x:c>
      <x:c r="B43" s="1" t="str">
        <x:v>Bolån</x:v>
      </x:c>
      <x:c r="C43" s="1" t="str">
        <x:v>Stadshypotek AB</x:v>
      </x:c>
      <x:c r="D43" s="30" t="str">
        <x:v>02-279136</x:v>
      </x:c>
      <x:c r="E43" s="21" t="n">
        <x:v>606</x:v>
      </x:c>
      <x:c r="F43" s="31" t="n">
        <x:f>SUMIF('Lånedetaljer'!$O$6:$O$434,H43,'Lånedetaljer'!$N$6:$N$434)</x:f>
        <x:v>606</x:v>
      </x:c>
      <x:c r="G43" s="21" t="n">
        <x:f>E43-F43</x:f>
        <x:v>0</x:v>
      </x:c>
      <x:c r="H43" s="1" t="str">
        <x:v>2017-11-01_02-279136.pdf</x:v>
      </x:c>
      <x:c r="I43" s="1" t="str"/>
    </x:row>
    <x:row r="44">
      <x:c r="A44" s="20" t="n">
        <x:v>43069</x:v>
      </x:c>
      <x:c r="B44" s="1" t="str">
        <x:v>Bolån</x:v>
      </x:c>
      <x:c r="C44" s="1" t="str">
        <x:v>Stadshypotek AB</x:v>
      </x:c>
      <x:c r="D44" s="30" t="str">
        <x:v>02-438379</x:v>
      </x:c>
      <x:c r="E44" s="21" t="n">
        <x:v>400</x:v>
      </x:c>
      <x:c r="F44" s="31" t="n">
        <x:f>SUMIF('Lånedetaljer'!$O$6:$O$434,H44,'Lånedetaljer'!$N$6:$N$434)</x:f>
        <x:v>400</x:v>
      </x:c>
      <x:c r="G44" s="21" t="n">
        <x:f>E44-F44</x:f>
        <x:v>0</x:v>
      </x:c>
      <x:c r="H44" s="1" t="str">
        <x:v>2017-11-30_02-438379.pdf</x:v>
      </x:c>
      <x:c r="I44" s="1" t="str"/>
    </x:row>
    <x:row r="45">
      <x:c r="A45" s="20" t="n">
        <x:v>43070</x:v>
      </x:c>
      <x:c r="B45" s="1" t="str">
        <x:v>Bolån</x:v>
      </x:c>
      <x:c r="C45" s="1" t="str">
        <x:v>Stadshypotek AB</x:v>
      </x:c>
      <x:c r="D45" s="30" t="str">
        <x:v>02-279136</x:v>
      </x:c>
      <x:c r="E45" s="21" t="n">
        <x:v>606</x:v>
      </x:c>
      <x:c r="F45" s="31" t="n">
        <x:f>SUMIF('Lånedetaljer'!$O$6:$O$434,H45,'Lånedetaljer'!$N$6:$N$434)</x:f>
        <x:v>606</x:v>
      </x:c>
      <x:c r="G45" s="21" t="n">
        <x:f>E45-F45</x:f>
        <x:v>0</x:v>
      </x:c>
      <x:c r="H45" s="1" t="str">
        <x:v>2017-12-01_02-279136.pdf</x:v>
      </x:c>
      <x:c r="I45" s="1" t="str"/>
    </x:row>
    <x:row r="46">
      <x:c r="A46" s="20" t="n">
        <x:v>43099</x:v>
      </x:c>
      <x:c r="B46" s="1" t="str">
        <x:v>Bolån</x:v>
      </x:c>
      <x:c r="C46" s="1" t="str">
        <x:v>Stadshypotek AB</x:v>
      </x:c>
      <x:c r="D46" s="30" t="str">
        <x:v>02-438379</x:v>
      </x:c>
      <x:c r="E46" s="21" t="n">
        <x:v>400</x:v>
      </x:c>
      <x:c r="F46" s="31" t="n">
        <x:f>SUMIF('Lånedetaljer'!$O$6:$O$434,H46,'Lånedetaljer'!$N$6:$N$434)</x:f>
        <x:v>400</x:v>
      </x:c>
      <x:c r="G46" s="21" t="n">
        <x:f>E46-F46</x:f>
        <x:v>0</x:v>
      </x:c>
      <x:c r="H46" s="1" t="str">
        <x:v>2017-12-30_02-438379.pdf</x:v>
      </x:c>
      <x:c r="I46" s="1" t="str"/>
    </x:row>
    <x:row r="47">
      <x:c r="A47" s="20" t="n">
        <x:v>43101</x:v>
      </x:c>
      <x:c r="B47" s="1" t="str">
        <x:v>Bolån</x:v>
      </x:c>
      <x:c r="C47" s="1" t="str">
        <x:v>Stadshypotek AB</x:v>
      </x:c>
      <x:c r="D47" s="30" t="str">
        <x:v>02-279136</x:v>
      </x:c>
      <x:c r="E47" s="21" t="n">
        <x:v>606</x:v>
      </x:c>
      <x:c r="F47" s="31" t="n">
        <x:f>SUMIF('Lånedetaljer'!$O$6:$O$434,H47,'Lånedetaljer'!$N$6:$N$434)</x:f>
        <x:v>606</x:v>
      </x:c>
      <x:c r="G47" s="21" t="n">
        <x:f>E47-F47</x:f>
        <x:v>0</x:v>
      </x:c>
      <x:c r="H47" s="1" t="str">
        <x:v>2018-01-01_02-279136.pdf</x:v>
      </x:c>
      <x:c r="I47" s="1" t="str"/>
    </x:row>
    <x:row r="48">
      <x:c r="A48" s="20" t="n">
        <x:v>43130</x:v>
      </x:c>
      <x:c r="B48" s="1" t="str">
        <x:v>Bolån</x:v>
      </x:c>
      <x:c r="C48" s="1" t="str">
        <x:v>Stadshypotek AB</x:v>
      </x:c>
      <x:c r="D48" s="30" t="str">
        <x:v>02-438379</x:v>
      </x:c>
      <x:c r="E48" s="21" t="n">
        <x:v>400</x:v>
      </x:c>
      <x:c r="F48" s="31" t="n">
        <x:f>SUMIF('Lånedetaljer'!$O$6:$O$434,H48,'Lånedetaljer'!$N$6:$N$434)</x:f>
        <x:v>400</x:v>
      </x:c>
      <x:c r="G48" s="21" t="n">
        <x:f>E48-F48</x:f>
        <x:v>0</x:v>
      </x:c>
      <x:c r="H48" s="1" t="str">
        <x:v>2018-01-30_02-438379.pdf</x:v>
      </x:c>
      <x:c r="I48" s="1" t="str"/>
    </x:row>
    <x:row r="49">
      <x:c r="A49" s="20" t="n">
        <x:v>43132</x:v>
      </x:c>
      <x:c r="B49" s="1" t="str">
        <x:v>Bolån</x:v>
      </x:c>
      <x:c r="C49" s="1" t="str">
        <x:v>Stadshypotek AB</x:v>
      </x:c>
      <x:c r="D49" s="30" t="str">
        <x:v>02-279136</x:v>
      </x:c>
      <x:c r="E49" s="21" t="n">
        <x:v>606</x:v>
      </x:c>
      <x:c r="F49" s="31" t="n">
        <x:f>SUMIF('Lånedetaljer'!$O$6:$O$434,H49,'Lånedetaljer'!$N$6:$N$434)</x:f>
        <x:v>606</x:v>
      </x:c>
      <x:c r="G49" s="21" t="n">
        <x:f>E49-F49</x:f>
        <x:v>0</x:v>
      </x:c>
      <x:c r="H49" s="1" t="str">
        <x:v>2018-02-01_02-279136.pdf</x:v>
      </x:c>
      <x:c r="I49" s="1" t="str"/>
    </x:row>
    <x:row r="50">
      <x:c r="A50" s="20" t="n">
        <x:v>43160</x:v>
      </x:c>
      <x:c r="B50" s="1" t="str">
        <x:v>Bolån</x:v>
      </x:c>
      <x:c r="C50" s="1" t="str">
        <x:v>Stadshypotek AB</x:v>
      </x:c>
      <x:c r="D50" s="30" t="str">
        <x:v>02-279136</x:v>
      </x:c>
      <x:c r="E50" s="21" t="n">
        <x:v>606</x:v>
      </x:c>
      <x:c r="F50" s="31" t="n">
        <x:f>SUMIF('Lånedetaljer'!$O$6:$O$434,H50,'Lånedetaljer'!$N$6:$N$434)</x:f>
        <x:v>606</x:v>
      </x:c>
      <x:c r="G50" s="21" t="n">
        <x:f>E50-F50</x:f>
        <x:v>0</x:v>
      </x:c>
      <x:c r="H50" s="1" t="str">
        <x:v>2018-03-01_02-279136.pdf</x:v>
      </x:c>
      <x:c r="I50" s="1" t="str"/>
    </x:row>
    <x:row r="51">
      <x:c r="A51" s="20" t="n">
        <x:v>43160</x:v>
      </x:c>
      <x:c r="B51" s="1" t="str">
        <x:v>Bolån</x:v>
      </x:c>
      <x:c r="C51" s="1" t="str">
        <x:v>Stadshypotek AB</x:v>
      </x:c>
      <x:c r="D51" s="30" t="str">
        <x:v>02-438379</x:v>
      </x:c>
      <x:c r="E51" s="21" t="n">
        <x:v>413</x:v>
      </x:c>
      <x:c r="F51" s="31" t="n">
        <x:f>SUMIF('Lånedetaljer'!$O$6:$O$434,H51,'Lånedetaljer'!$N$6:$N$434)</x:f>
        <x:v>413</x:v>
      </x:c>
      <x:c r="G51" s="21" t="n">
        <x:f>E51-F51</x:f>
        <x:v>0</x:v>
      </x:c>
      <x:c r="H51" s="1" t="str">
        <x:v>2018-03-01_02-438379.pdf</x:v>
      </x:c>
      <x:c r="I51" s="1" t="str"/>
    </x:row>
    <x:row r="52">
      <x:c r="A52" s="20" t="n">
        <x:v>43191</x:v>
      </x:c>
      <x:c r="B52" s="1" t="str">
        <x:v>Bolån</x:v>
      </x:c>
      <x:c r="C52" s="1" t="str">
        <x:v>Stadshypotek AB</x:v>
      </x:c>
      <x:c r="D52" s="30" t="str">
        <x:v>02-279136</x:v>
      </x:c>
      <x:c r="E52" s="21" t="n">
        <x:v>606</x:v>
      </x:c>
      <x:c r="F52" s="31" t="n">
        <x:f>SUMIF('Lånedetaljer'!$O$6:$O$434,H52,'Lånedetaljer'!$N$6:$N$434)</x:f>
        <x:v>606</x:v>
      </x:c>
      <x:c r="G52" s="21" t="n">
        <x:f>E52-F52</x:f>
        <x:v>0</x:v>
      </x:c>
      <x:c r="H52" s="1" t="str">
        <x:v>2018-04-01_02-279136.pdf</x:v>
      </x:c>
      <x:c r="I52" s="1" t="str"/>
    </x:row>
    <x:row r="53">
      <x:c r="A53" s="20" t="n">
        <x:v>43191</x:v>
      </x:c>
      <x:c r="B53" s="1" t="str">
        <x:v>Bolån</x:v>
      </x:c>
      <x:c r="C53" s="1" t="str">
        <x:v>Stadshypotek AB</x:v>
      </x:c>
      <x:c r="D53" s="30" t="str">
        <x:v>02-438379</x:v>
      </x:c>
      <x:c r="E53" s="21" t="n">
        <x:v>427</x:v>
      </x:c>
      <x:c r="F53" s="31" t="n">
        <x:f>SUMIF('Lånedetaljer'!$O$6:$O$434,H53,'Lånedetaljer'!$N$6:$N$434)</x:f>
        <x:v>427</x:v>
      </x:c>
      <x:c r="G53" s="21" t="n">
        <x:f>E53-F53</x:f>
        <x:v>0</x:v>
      </x:c>
      <x:c r="H53" s="1" t="str">
        <x:v>2018-04-01_02-438379.pdf</x:v>
      </x:c>
      <x:c r="I53" s="1" t="str"/>
    </x:row>
    <x:row r="54">
      <x:c r="A54" s="20" t="n">
        <x:v>43221</x:v>
      </x:c>
      <x:c r="B54" s="1" t="str">
        <x:v>Bolån</x:v>
      </x:c>
      <x:c r="C54" s="1" t="str">
        <x:v>Stadshypotek AB</x:v>
      </x:c>
      <x:c r="D54" s="30" t="str">
        <x:v>02-279136</x:v>
      </x:c>
      <x:c r="E54" s="21" t="n">
        <x:v>606</x:v>
      </x:c>
      <x:c r="F54" s="31" t="n">
        <x:f>SUMIF('Lånedetaljer'!$O$6:$O$434,H54,'Lånedetaljer'!$N$6:$N$434)</x:f>
        <x:v>606</x:v>
      </x:c>
      <x:c r="G54" s="21" t="n">
        <x:f>E54-F54</x:f>
        <x:v>0</x:v>
      </x:c>
      <x:c r="H54" s="1" t="str">
        <x:v>2018-05-01_02-279136.pdf</x:v>
      </x:c>
      <x:c r="I54" s="1" t="str"/>
    </x:row>
    <x:row r="55">
      <x:c r="A55" s="20" t="n">
        <x:v>43221</x:v>
      </x:c>
      <x:c r="B55" s="1" t="str">
        <x:v>Bolån</x:v>
      </x:c>
      <x:c r="C55" s="1" t="str">
        <x:v>Stadshypotek AB</x:v>
      </x:c>
      <x:c r="D55" s="30" t="str">
        <x:v>02-438379</x:v>
      </x:c>
      <x:c r="E55" s="21" t="n">
        <x:v>427</x:v>
      </x:c>
      <x:c r="F55" s="31" t="n">
        <x:f>SUMIF('Lånedetaljer'!$O$6:$O$434,H55,'Lånedetaljer'!$N$6:$N$434)</x:f>
        <x:v>427</x:v>
      </x:c>
      <x:c r="G55" s="21" t="n">
        <x:f>E55-F55</x:f>
        <x:v>0</x:v>
      </x:c>
      <x:c r="H55" s="1" t="str">
        <x:v>2018-05-01_02-438379.pdf</x:v>
      </x:c>
      <x:c r="I55" s="1" t="str"/>
    </x:row>
    <x:row r="56">
      <x:c r="A56" s="20" t="n">
        <x:v>43252</x:v>
      </x:c>
      <x:c r="B56" s="1" t="str">
        <x:v>Bolån</x:v>
      </x:c>
      <x:c r="C56" s="1" t="str">
        <x:v>Stadshypotek AB</x:v>
      </x:c>
      <x:c r="D56" s="30" t="str">
        <x:v>02-279136</x:v>
      </x:c>
      <x:c r="E56" s="21" t="n">
        <x:v>606</x:v>
      </x:c>
      <x:c r="F56" s="31" t="n">
        <x:f>SUMIF('Lånedetaljer'!$O$6:$O$434,H56,'Lånedetaljer'!$N$6:$N$434)</x:f>
        <x:v>606</x:v>
      </x:c>
      <x:c r="G56" s="21" t="n">
        <x:f>E56-F56</x:f>
        <x:v>0</x:v>
      </x:c>
      <x:c r="H56" s="1" t="str">
        <x:v>2018-06-01_02-279136.pdf</x:v>
      </x:c>
      <x:c r="I56" s="1" t="str"/>
    </x:row>
    <x:row r="57">
      <x:c r="A57" s="20" t="n">
        <x:v>43252</x:v>
      </x:c>
      <x:c r="B57" s="1" t="str">
        <x:v>Bolån</x:v>
      </x:c>
      <x:c r="C57" s="1" t="str">
        <x:v>Stadshypotek AB</x:v>
      </x:c>
      <x:c r="D57" s="30" t="str">
        <x:v>02-438379</x:v>
      </x:c>
      <x:c r="E57" s="21" t="n">
        <x:v>427</x:v>
      </x:c>
      <x:c r="F57" s="31" t="n">
        <x:f>SUMIF('Lånedetaljer'!$O$6:$O$434,H57,'Lånedetaljer'!$N$6:$N$434)</x:f>
        <x:v>427</x:v>
      </x:c>
      <x:c r="G57" s="21" t="n">
        <x:f>E57-F57</x:f>
        <x:v>0</x:v>
      </x:c>
      <x:c r="H57" s="1" t="str">
        <x:v>2018-06-01_02-438379.pdf</x:v>
      </x:c>
      <x:c r="I57" s="1" t="str"/>
    </x:row>
    <x:row r="58">
      <x:c r="A58" s="20" t="n">
        <x:v>43282</x:v>
      </x:c>
      <x:c r="B58" s="1" t="str">
        <x:v>Bolån</x:v>
      </x:c>
      <x:c r="C58" s="1" t="str">
        <x:v>Stadshypotek AB</x:v>
      </x:c>
      <x:c r="D58" s="30" t="str">
        <x:v>02-279136</x:v>
      </x:c>
      <x:c r="E58" s="21" t="n">
        <x:v>606</x:v>
      </x:c>
      <x:c r="F58" s="31" t="n">
        <x:f>SUMIF('Lånedetaljer'!$O$6:$O$434,H58,'Lånedetaljer'!$N$6:$N$434)</x:f>
        <x:v>606</x:v>
      </x:c>
      <x:c r="G58" s="21" t="n">
        <x:f>E58-F58</x:f>
        <x:v>0</x:v>
      </x:c>
      <x:c r="H58" s="1" t="str">
        <x:v>2018-07-01_02-279136.pdf</x:v>
      </x:c>
      <x:c r="I58" s="1" t="str"/>
    </x:row>
    <x:row r="59">
      <x:c r="A59" s="20" t="n">
        <x:v>43282</x:v>
      </x:c>
      <x:c r="B59" s="1" t="str">
        <x:v>Bolån</x:v>
      </x:c>
      <x:c r="C59" s="1" t="str">
        <x:v>Stadshypotek AB</x:v>
      </x:c>
      <x:c r="D59" s="30" t="str">
        <x:v>02-438379</x:v>
      </x:c>
      <x:c r="E59" s="21" t="n">
        <x:v>427</x:v>
      </x:c>
      <x:c r="F59" s="31" t="n">
        <x:f>SUMIF('Lånedetaljer'!$O$6:$O$434,H59,'Lånedetaljer'!$N$6:$N$434)</x:f>
        <x:v>427</x:v>
      </x:c>
      <x:c r="G59" s="21" t="n">
        <x:f>E59-F59</x:f>
        <x:v>0</x:v>
      </x:c>
      <x:c r="H59" s="1" t="str">
        <x:v>2018-07-01_02-438379.pdf</x:v>
      </x:c>
      <x:c r="I59" s="1" t="str"/>
    </x:row>
    <x:row r="60">
      <x:c r="A60" s="20" t="n">
        <x:v>43313</x:v>
      </x:c>
      <x:c r="B60" s="1" t="str">
        <x:v>Bolån</x:v>
      </x:c>
      <x:c r="C60" s="1" t="str">
        <x:v>Stadshypotek AB</x:v>
      </x:c>
      <x:c r="D60" s="30" t="str">
        <x:v>02-279136</x:v>
      </x:c>
      <x:c r="E60" s="21" t="n">
        <x:v>606</x:v>
      </x:c>
      <x:c r="F60" s="31" t="n">
        <x:f>SUMIF('Lånedetaljer'!$O$6:$O$434,H60,'Lånedetaljer'!$N$6:$N$434)</x:f>
        <x:v>606</x:v>
      </x:c>
      <x:c r="G60" s="21" t="n">
        <x:f>E60-F60</x:f>
        <x:v>0</x:v>
      </x:c>
      <x:c r="H60" s="1" t="str">
        <x:v>2018-08-01_02-279136.pdf</x:v>
      </x:c>
      <x:c r="I60" s="1" t="str"/>
    </x:row>
    <x:row r="61">
      <x:c r="A61" s="20" t="n">
        <x:v>43313</x:v>
      </x:c>
      <x:c r="B61" s="1" t="str">
        <x:v>Bolån</x:v>
      </x:c>
      <x:c r="C61" s="1" t="str">
        <x:v>Stadshypotek AB</x:v>
      </x:c>
      <x:c r="D61" s="30" t="str">
        <x:v>02-438379</x:v>
      </x:c>
      <x:c r="E61" s="21" t="n">
        <x:v>427</x:v>
      </x:c>
      <x:c r="F61" s="31" t="n">
        <x:f>SUMIF('Lånedetaljer'!$O$6:$O$434,H61,'Lånedetaljer'!$N$6:$N$434)</x:f>
        <x:v>427</x:v>
      </x:c>
      <x:c r="G61" s="21" t="n">
        <x:f>E61-F61</x:f>
        <x:v>0</x:v>
      </x:c>
      <x:c r="H61" s="1" t="str">
        <x:v>2018-08-01_02-438379.pdf</x:v>
      </x:c>
      <x:c r="I61" s="1" t="str"/>
    </x:row>
    <x:row r="62">
      <x:c r="A62" s="20" t="n">
        <x:v>43344</x:v>
      </x:c>
      <x:c r="B62" s="1" t="str">
        <x:v>Bolån</x:v>
      </x:c>
      <x:c r="C62" s="1" t="str">
        <x:v>Stadshypotek AB</x:v>
      </x:c>
      <x:c r="D62" s="30" t="str">
        <x:v>02-279136</x:v>
      </x:c>
      <x:c r="E62" s="21" t="n">
        <x:v>606</x:v>
      </x:c>
      <x:c r="F62" s="31" t="n">
        <x:f>SUMIF('Lånedetaljer'!$O$6:$O$434,H62,'Lånedetaljer'!$N$6:$N$434)</x:f>
        <x:v>606</x:v>
      </x:c>
      <x:c r="G62" s="21" t="n">
        <x:f>E62-F62</x:f>
        <x:v>0</x:v>
      </x:c>
      <x:c r="H62" s="1" t="str">
        <x:v>2018-09-01_02-279136.pdf</x:v>
      </x:c>
      <x:c r="I62" s="1" t="str"/>
    </x:row>
    <x:row r="63">
      <x:c r="A63" s="20" t="n">
        <x:v>43344</x:v>
      </x:c>
      <x:c r="B63" s="1" t="str">
        <x:v>Bolån</x:v>
      </x:c>
      <x:c r="C63" s="1" t="str">
        <x:v>Stadshypotek AB</x:v>
      </x:c>
      <x:c r="D63" s="30" t="str">
        <x:v>02-438379</x:v>
      </x:c>
      <x:c r="E63" s="21" t="n">
        <x:v>427</x:v>
      </x:c>
      <x:c r="F63" s="31" t="n">
        <x:f>SUMIF('Lånedetaljer'!$O$6:$O$434,H63,'Lånedetaljer'!$N$6:$N$434)</x:f>
        <x:v>427</x:v>
      </x:c>
      <x:c r="G63" s="21" t="n">
        <x:f>E63-F63</x:f>
        <x:v>0</x:v>
      </x:c>
      <x:c r="H63" s="1" t="str">
        <x:v>2018-09-01_02-438379.pdf</x:v>
      </x:c>
      <x:c r="I63" s="1" t="str"/>
    </x:row>
    <x:row r="64">
      <x:c r="A64" s="20" t="n">
        <x:v>43374</x:v>
      </x:c>
      <x:c r="B64" s="1" t="str">
        <x:v>Bolån</x:v>
      </x:c>
      <x:c r="C64" s="1" t="str">
        <x:v>Stadshypotek AB</x:v>
      </x:c>
      <x:c r="D64" s="30" t="str">
        <x:v>02-279136</x:v>
      </x:c>
      <x:c r="E64" s="21" t="n">
        <x:v>606</x:v>
      </x:c>
      <x:c r="F64" s="31" t="n">
        <x:f>SUMIF('Lånedetaljer'!$O$6:$O$434,H64,'Lånedetaljer'!$N$6:$N$434)</x:f>
        <x:v>606</x:v>
      </x:c>
      <x:c r="G64" s="21" t="n">
        <x:f>E64-F64</x:f>
        <x:v>0</x:v>
      </x:c>
      <x:c r="H64" s="1" t="str">
        <x:v>2018-10-01_02-279136.pdf</x:v>
      </x:c>
      <x:c r="I64" s="1" t="str"/>
    </x:row>
    <x:row r="65">
      <x:c r="A65" s="20" t="n">
        <x:v>43374</x:v>
      </x:c>
      <x:c r="B65" s="1" t="str">
        <x:v>Bolån</x:v>
      </x:c>
      <x:c r="C65" s="1" t="str">
        <x:v>Stadshypotek AB</x:v>
      </x:c>
      <x:c r="D65" s="30" t="str">
        <x:v>02-438379</x:v>
      </x:c>
      <x:c r="E65" s="21" t="n">
        <x:v>427</x:v>
      </x:c>
      <x:c r="F65" s="31" t="n">
        <x:f>SUMIF('Lånedetaljer'!$O$6:$O$434,H65,'Lånedetaljer'!$N$6:$N$434)</x:f>
        <x:v>427</x:v>
      </x:c>
      <x:c r="G65" s="21" t="n">
        <x:f>E65-F65</x:f>
        <x:v>0</x:v>
      </x:c>
      <x:c r="H65" s="1" t="str">
        <x:v>2018-10-01_02-438379.pdf</x:v>
      </x:c>
      <x:c r="I65" s="1" t="str"/>
    </x:row>
    <x:row r="66">
      <x:c r="A66" s="20" t="n">
        <x:v>43405</x:v>
      </x:c>
      <x:c r="B66" s="1" t="str">
        <x:v>Bolån</x:v>
      </x:c>
      <x:c r="C66" s="1" t="str">
        <x:v>Stadshypotek AB</x:v>
      </x:c>
      <x:c r="D66" s="30" t="str">
        <x:v>02-279136</x:v>
      </x:c>
      <x:c r="E66" s="21" t="n">
        <x:v>606</x:v>
      </x:c>
      <x:c r="F66" s="31" t="n">
        <x:f>SUMIF('Lånedetaljer'!$O$6:$O$434,H66,'Lånedetaljer'!$N$6:$N$434)</x:f>
        <x:v>606</x:v>
      </x:c>
      <x:c r="G66" s="21" t="n">
        <x:f>E66-F66</x:f>
        <x:v>0</x:v>
      </x:c>
      <x:c r="H66" s="1" t="str">
        <x:v>2018-11-01_02-279136.pdf</x:v>
      </x:c>
      <x:c r="I66" s="1" t="str"/>
    </x:row>
    <x:row r="67">
      <x:c r="A67" s="20" t="n">
        <x:v>43405</x:v>
      </x:c>
      <x:c r="B67" s="1" t="str">
        <x:v>Bolån</x:v>
      </x:c>
      <x:c r="C67" s="1" t="str">
        <x:v>Stadshypotek AB</x:v>
      </x:c>
      <x:c r="D67" s="30" t="str">
        <x:v>02-438379</x:v>
      </x:c>
      <x:c r="E67" s="21" t="n">
        <x:v>427</x:v>
      </x:c>
      <x:c r="F67" s="31" t="n">
        <x:f>SUMIF('Lånedetaljer'!$O$6:$O$434,H67,'Lånedetaljer'!$N$6:$N$434)</x:f>
        <x:v>427</x:v>
      </x:c>
      <x:c r="G67" s="21" t="n">
        <x:f>E67-F67</x:f>
        <x:v>0</x:v>
      </x:c>
      <x:c r="H67" s="1" t="str">
        <x:v>2018-11-01_02-438379.pdf</x:v>
      </x:c>
      <x:c r="I67" s="1" t="str"/>
    </x:row>
    <x:row r="68">
      <x:c r="A68" s="20" t="n">
        <x:v>43435</x:v>
      </x:c>
      <x:c r="B68" s="1" t="str">
        <x:v>Bolån</x:v>
      </x:c>
      <x:c r="C68" s="1" t="str">
        <x:v>Stadshypotek AB</x:v>
      </x:c>
      <x:c r="D68" s="30" t="str">
        <x:v>02-279136</x:v>
      </x:c>
      <x:c r="E68" s="21" t="n">
        <x:v>606</x:v>
      </x:c>
      <x:c r="F68" s="31" t="n">
        <x:f>SUMIF('Lånedetaljer'!$O$6:$O$434,H68,'Lånedetaljer'!$N$6:$N$434)</x:f>
        <x:v>606</x:v>
      </x:c>
      <x:c r="G68" s="21" t="n">
        <x:f>E68-F68</x:f>
        <x:v>0</x:v>
      </x:c>
      <x:c r="H68" s="1" t="str">
        <x:v>2018-12-01_02-279136.pdf</x:v>
      </x:c>
      <x:c r="I68" s="1" t="str"/>
    </x:row>
    <x:row r="69">
      <x:c r="A69" s="20" t="n">
        <x:v>43435</x:v>
      </x:c>
      <x:c r="B69" s="1" t="str">
        <x:v>Bolån</x:v>
      </x:c>
      <x:c r="C69" s="1" t="str">
        <x:v>Stadshypotek AB</x:v>
      </x:c>
      <x:c r="D69" s="30" t="str">
        <x:v>02-438379</x:v>
      </x:c>
      <x:c r="E69" s="21" t="n">
        <x:v>427</x:v>
      </x:c>
      <x:c r="F69" s="31" t="n">
        <x:f>SUMIF('Lånedetaljer'!$O$6:$O$434,H69,'Lånedetaljer'!$N$6:$N$434)</x:f>
        <x:v>427</x:v>
      </x:c>
      <x:c r="G69" s="21" t="n">
        <x:f>E69-F69</x:f>
        <x:v>0</x:v>
      </x:c>
      <x:c r="H69" s="1" t="str">
        <x:v>2018-12-01_02-438379.pdf</x:v>
      </x:c>
      <x:c r="I69" s="1" t="str"/>
    </x:row>
    <x:row r="70">
      <x:c r="A70" s="20" t="n">
        <x:v>43466</x:v>
      </x:c>
      <x:c r="B70" s="1" t="str">
        <x:v>Bolån</x:v>
      </x:c>
      <x:c r="C70" s="1" t="str">
        <x:v>Stadshypotek AB</x:v>
      </x:c>
      <x:c r="D70" s="30" t="str">
        <x:v>02-279136</x:v>
      </x:c>
      <x:c r="E70" s="21" t="n">
        <x:v>606</x:v>
      </x:c>
      <x:c r="F70" s="31" t="n">
        <x:f>SUMIF('Lånedetaljer'!$O$6:$O$434,H70,'Lånedetaljer'!$N$6:$N$434)</x:f>
        <x:v>606</x:v>
      </x:c>
      <x:c r="G70" s="21" t="n">
        <x:f>E70-F70</x:f>
        <x:v>0</x:v>
      </x:c>
      <x:c r="H70" s="1" t="str">
        <x:v>2019-01-01_02-279136.pdf</x:v>
      </x:c>
      <x:c r="I70" s="1" t="str"/>
    </x:row>
    <x:row r="71">
      <x:c r="A71" s="20" t="n">
        <x:v>43466</x:v>
      </x:c>
      <x:c r="B71" s="1" t="str">
        <x:v>Bolån</x:v>
      </x:c>
      <x:c r="C71" s="1" t="str">
        <x:v>Stadshypotek AB</x:v>
      </x:c>
      <x:c r="D71" s="30" t="str">
        <x:v>02-438379</x:v>
      </x:c>
      <x:c r="E71" s="21" t="n">
        <x:v>427</x:v>
      </x:c>
      <x:c r="F71" s="31" t="n">
        <x:f>SUMIF('Lånedetaljer'!$O$6:$O$434,H71,'Lånedetaljer'!$N$6:$N$434)</x:f>
        <x:v>427</x:v>
      </x:c>
      <x:c r="G71" s="21" t="n">
        <x:f>E71-F71</x:f>
        <x:v>0</x:v>
      </x:c>
      <x:c r="H71" s="1" t="str">
        <x:v>2019-01-01_02-438379.pdf</x:v>
      </x:c>
      <x:c r="I71" s="1" t="str"/>
    </x:row>
    <x:row r="72">
      <x:c r="A72" s="20" t="n">
        <x:v>43497</x:v>
      </x:c>
      <x:c r="B72" s="1" t="str">
        <x:v>Bolån</x:v>
      </x:c>
      <x:c r="C72" s="1" t="str">
        <x:v>Stadshypotek AB</x:v>
      </x:c>
      <x:c r="D72" s="30" t="str">
        <x:v>02-279136</x:v>
      </x:c>
      <x:c r="E72" s="21" t="n">
        <x:v>606</x:v>
      </x:c>
      <x:c r="F72" s="31" t="n">
        <x:f>SUMIF('Lånedetaljer'!$O$6:$O$434,H72,'Lånedetaljer'!$N$6:$N$434)</x:f>
        <x:v>606</x:v>
      </x:c>
      <x:c r="G72" s="21" t="n">
        <x:f>E72-F72</x:f>
        <x:v>0</x:v>
      </x:c>
      <x:c r="H72" s="1" t="str">
        <x:v>2019-02-01_02-279136.pdf</x:v>
      </x:c>
      <x:c r="I72" s="1" t="str"/>
    </x:row>
    <x:row r="73">
      <x:c r="A73" s="20" t="n">
        <x:v>43497</x:v>
      </x:c>
      <x:c r="B73" s="1" t="str">
        <x:v>Bolån</x:v>
      </x:c>
      <x:c r="C73" s="1" t="str">
        <x:v>Stadshypotek AB</x:v>
      </x:c>
      <x:c r="D73" s="30" t="str">
        <x:v>02-438379</x:v>
      </x:c>
      <x:c r="E73" s="21" t="n">
        <x:v>427</x:v>
      </x:c>
      <x:c r="F73" s="31" t="n">
        <x:f>SUMIF('Lånedetaljer'!$O$6:$O$434,H73,'Lånedetaljer'!$N$6:$N$434)</x:f>
        <x:v>427</x:v>
      </x:c>
      <x:c r="G73" s="21" t="n">
        <x:f>E73-F73</x:f>
        <x:v>0</x:v>
      </x:c>
      <x:c r="H73" s="1" t="str">
        <x:v>2019-02-01_02-438379.pdf</x:v>
      </x:c>
      <x:c r="I73" s="1" t="str"/>
    </x:row>
    <x:row r="74">
      <x:c r="A74" s="20" t="n">
        <x:v>43525</x:v>
      </x:c>
      <x:c r="B74" s="1" t="str">
        <x:v>Bolån</x:v>
      </x:c>
      <x:c r="C74" s="1" t="str">
        <x:v>Stadshypotek AB</x:v>
      </x:c>
      <x:c r="D74" s="30" t="str">
        <x:v>02-279136</x:v>
      </x:c>
      <x:c r="E74" s="21" t="n">
        <x:v>606</x:v>
      </x:c>
      <x:c r="F74" s="31" t="n">
        <x:f>SUMIF('Lånedetaljer'!$O$6:$O$434,H74,'Lånedetaljer'!$N$6:$N$434)</x:f>
        <x:v>606</x:v>
      </x:c>
      <x:c r="G74" s="21" t="n">
        <x:f>E74-F74</x:f>
        <x:v>0</x:v>
      </x:c>
      <x:c r="H74" s="1" t="str">
        <x:v>2019-03-01_02-279136.pdf</x:v>
      </x:c>
      <x:c r="I74" s="1" t="str"/>
    </x:row>
    <x:row r="75">
      <x:c r="A75" s="20" t="n">
        <x:v>43525</x:v>
      </x:c>
      <x:c r="B75" s="1" t="str">
        <x:v>Bolån</x:v>
      </x:c>
      <x:c r="C75" s="1" t="str">
        <x:v>Stadshypotek AB</x:v>
      </x:c>
      <x:c r="D75" s="30" t="str">
        <x:v>02-438379</x:v>
      </x:c>
      <x:c r="E75" s="21" t="n">
        <x:v>427</x:v>
      </x:c>
      <x:c r="F75" s="31" t="n">
        <x:f>SUMIF('Lånedetaljer'!$O$6:$O$434,H75,'Lånedetaljer'!$N$6:$N$434)</x:f>
        <x:v>427</x:v>
      </x:c>
      <x:c r="G75" s="21" t="n">
        <x:f>E75-F75</x:f>
        <x:v>0</x:v>
      </x:c>
      <x:c r="H75" s="1" t="str">
        <x:v>2019-03-01_02-438379.pdf</x:v>
      </x:c>
      <x:c r="I75" s="1" t="str"/>
    </x:row>
    <x:row r="76">
      <x:c r="A76" s="20" t="n">
        <x:v>43556</x:v>
      </x:c>
      <x:c r="B76" s="1" t="str">
        <x:v>Bolån</x:v>
      </x:c>
      <x:c r="C76" s="1" t="str">
        <x:v>Stadshypotek AB</x:v>
      </x:c>
      <x:c r="D76" s="30" t="str">
        <x:v>02-279136</x:v>
      </x:c>
      <x:c r="E76" s="21" t="n">
        <x:v>666</x:v>
      </x:c>
      <x:c r="F76" s="31" t="n">
        <x:f>SUMIF('Lånedetaljer'!$O$6:$O$434,H76,'Lånedetaljer'!$N$6:$N$434)</x:f>
        <x:v>666</x:v>
      </x:c>
      <x:c r="G76" s="21" t="n">
        <x:f>E76-F76</x:f>
        <x:v>0</x:v>
      </x:c>
      <x:c r="H76" s="1" t="str">
        <x:v>2019-04-01_02-279136.pdf</x:v>
      </x:c>
      <x:c r="I76" s="1" t="str"/>
    </x:row>
    <x:row r="77">
      <x:c r="A77" s="20" t="n">
        <x:v>43586</x:v>
      </x:c>
      <x:c r="B77" s="1" t="str">
        <x:v>Bolån</x:v>
      </x:c>
      <x:c r="C77" s="1" t="str">
        <x:v>Stadshypotek AB</x:v>
      </x:c>
      <x:c r="D77" s="30" t="str">
        <x:v>02-279136</x:v>
      </x:c>
      <x:c r="E77" s="21" t="n">
        <x:v>666</x:v>
      </x:c>
      <x:c r="F77" s="31" t="n">
        <x:f>SUMIF('Lånedetaljer'!$O$6:$O$434,H77,'Lånedetaljer'!$N$6:$N$434)</x:f>
        <x:v>666</x:v>
      </x:c>
      <x:c r="G77" s="21" t="n">
        <x:f>E77-F77</x:f>
        <x:v>0</x:v>
      </x:c>
      <x:c r="H77" s="1" t="str">
        <x:v>2019-05-01_02-279136.pdf</x:v>
      </x:c>
      <x:c r="I77" s="1" t="str"/>
    </x:row>
    <x:row r="78">
      <x:c r="A78" s="20" t="n">
        <x:v>43586</x:v>
      </x:c>
      <x:c r="B78" s="1" t="str">
        <x:v>Bolån</x:v>
      </x:c>
      <x:c r="C78" s="1" t="str">
        <x:v>Stadshypotek AB</x:v>
      </x:c>
      <x:c r="D78" s="30" t="str">
        <x:v>02-279136</x:v>
      </x:c>
      <x:c r="E78" s="21" t="n">
        <x:v>661</x:v>
      </x:c>
      <x:c r="F78" s="31" t="n">
        <x:f>SUMIF('Lånedetaljer'!$O$6:$O$434,H78,'Lånedetaljer'!$N$6:$N$434)</x:f>
        <x:v>661</x:v>
      </x:c>
      <x:c r="G78" s="21" t="n">
        <x:f>E78-F78</x:f>
        <x:v>0</x:v>
      </x:c>
      <x:c r="H78" s="1" t="str">
        <x:v>2019-05-01_02-279136_2.pdf</x:v>
      </x:c>
      <x:c r="I78" s="1" t="str">
        <x:v>Separat tilläggsavi</x:v>
      </x:c>
    </x:row>
    <x:row r="79">
      <x:c r="A79" s="20" t="n">
        <x:v>43617</x:v>
      </x:c>
      <x:c r="B79" s="1" t="str">
        <x:v>Bolån</x:v>
      </x:c>
      <x:c r="C79" s="1" t="str">
        <x:v>Stadshypotek AB</x:v>
      </x:c>
      <x:c r="D79" s="30" t="str">
        <x:v>02-279136</x:v>
      </x:c>
      <x:c r="E79" s="21" t="n">
        <x:v>1249</x:v>
      </x:c>
      <x:c r="F79" s="31" t="n">
        <x:f>SUMIF('Lånedetaljer'!$O$6:$O$434,H79,'Lånedetaljer'!$N$6:$N$434)</x:f>
        <x:v>1249</x:v>
      </x:c>
      <x:c r="G79" s="21" t="n">
        <x:f>E79-F79</x:f>
        <x:v>0</x:v>
      </x:c>
      <x:c r="H79" s="1" t="str">
        <x:v>2019-06-01_02-279136.pdf</x:v>
      </x:c>
      <x:c r="I79" s="1" t="str"/>
    </x:row>
    <x:row r="80">
      <x:c r="A80" s="20" t="n">
        <x:v>43647</x:v>
      </x:c>
      <x:c r="B80" s="1" t="str">
        <x:v>Bolån</x:v>
      </x:c>
      <x:c r="C80" s="1" t="str">
        <x:v>Stadshypotek AB</x:v>
      </x:c>
      <x:c r="D80" s="30" t="str">
        <x:v>02-279136</x:v>
      </x:c>
      <x:c r="E80" s="21" t="n">
        <x:v>1249</x:v>
      </x:c>
      <x:c r="F80" s="31" t="n">
        <x:f>SUMIF('Lånedetaljer'!$O$6:$O$434,H80,'Lånedetaljer'!$N$6:$N$434)</x:f>
        <x:v>1249</x:v>
      </x:c>
      <x:c r="G80" s="21" t="n">
        <x:f>E80-F80</x:f>
        <x:v>0</x:v>
      </x:c>
      <x:c r="H80" s="1" t="str">
        <x:v>2019-07-01_02-279136.pdf</x:v>
      </x:c>
      <x:c r="I80" s="1" t="str"/>
    </x:row>
    <x:row r="81">
      <x:c r="A81" s="20" t="n">
        <x:v>43678</x:v>
      </x:c>
      <x:c r="B81" s="1" t="str">
        <x:v>Bolån</x:v>
      </x:c>
      <x:c r="C81" s="1" t="str">
        <x:v>Stadshypotek AB</x:v>
      </x:c>
      <x:c r="D81" s="30" t="str">
        <x:v>02-279136</x:v>
      </x:c>
      <x:c r="E81" s="21" t="n">
        <x:v>1249</x:v>
      </x:c>
      <x:c r="F81" s="31" t="n">
        <x:f>SUMIF('Lånedetaljer'!$O$6:$O$434,H81,'Lånedetaljer'!$N$6:$N$434)</x:f>
        <x:v>1249</x:v>
      </x:c>
      <x:c r="G81" s="21" t="n">
        <x:f>E81-F81</x:f>
        <x:v>0</x:v>
      </x:c>
      <x:c r="H81" s="1" t="str">
        <x:v>2019-08-01_02-279136.pdf</x:v>
      </x:c>
      <x:c r="I81" s="1" t="str"/>
    </x:row>
    <x:row r="82">
      <x:c r="A82" s="20" t="n">
        <x:v>43709</x:v>
      </x:c>
      <x:c r="B82" s="1" t="str">
        <x:v>Bolån</x:v>
      </x:c>
      <x:c r="C82" s="1" t="str">
        <x:v>Stadshypotek AB</x:v>
      </x:c>
      <x:c r="D82" s="30" t="str">
        <x:v>02-279136</x:v>
      </x:c>
      <x:c r="E82" s="21" t="n">
        <x:v>1249</x:v>
      </x:c>
      <x:c r="F82" s="31" t="n">
        <x:f>SUMIF('Lånedetaljer'!$O$6:$O$434,H82,'Lånedetaljer'!$N$6:$N$434)</x:f>
        <x:v>1249</x:v>
      </x:c>
      <x:c r="G82" s="21" t="n">
        <x:f>E82-F82</x:f>
        <x:v>0</x:v>
      </x:c>
      <x:c r="H82" s="1" t="str">
        <x:v>2019-09-01_02-279136.pdf</x:v>
      </x:c>
      <x:c r="I82" s="1" t="str"/>
    </x:row>
    <x:row r="83">
      <x:c r="A83" s="20" t="n">
        <x:v>43739</x:v>
      </x:c>
      <x:c r="B83" s="1" t="str">
        <x:v>Bolån</x:v>
      </x:c>
      <x:c r="C83" s="1" t="str">
        <x:v>Stadshypotek AB</x:v>
      </x:c>
      <x:c r="D83" s="30" t="str">
        <x:v>02-279136</x:v>
      </x:c>
      <x:c r="E83" s="21" t="n">
        <x:v>1249</x:v>
      </x:c>
      <x:c r="F83" s="31" t="n">
        <x:f>SUMIF('Lånedetaljer'!$O$6:$O$434,H83,'Lånedetaljer'!$N$6:$N$434)</x:f>
        <x:v>1249</x:v>
      </x:c>
      <x:c r="G83" s="21" t="n">
        <x:f>E83-F83</x:f>
        <x:v>0</x:v>
      </x:c>
      <x:c r="H83" s="1" t="str">
        <x:v>2019-10-01_02-279136.pdf</x:v>
      </x:c>
      <x:c r="I83" s="1" t="str"/>
    </x:row>
    <x:row r="84">
      <x:c r="A84" s="20" t="n">
        <x:v>43770</x:v>
      </x:c>
      <x:c r="B84" s="1" t="str">
        <x:v>Bolån</x:v>
      </x:c>
      <x:c r="C84" s="1" t="str">
        <x:v>Stadshypotek AB</x:v>
      </x:c>
      <x:c r="D84" s="30" t="str">
        <x:v>02-279136</x:v>
      </x:c>
      <x:c r="E84" s="21" t="n">
        <x:v>1249</x:v>
      </x:c>
      <x:c r="F84" s="31" t="n">
        <x:f>SUMIF('Lånedetaljer'!$O$6:$O$434,H84,'Lånedetaljer'!$N$6:$N$434)</x:f>
        <x:v>1249</x:v>
      </x:c>
      <x:c r="G84" s="21" t="n">
        <x:f>E84-F84</x:f>
        <x:v>0</x:v>
      </x:c>
      <x:c r="H84" s="1" t="str">
        <x:v>2019-11-01_02-279136.pdf</x:v>
      </x:c>
      <x:c r="I84" s="1" t="str"/>
    </x:row>
    <x:row r="85">
      <x:c r="A85" s="20" t="n">
        <x:v>43800</x:v>
      </x:c>
      <x:c r="B85" s="1" t="str">
        <x:v>Bolån</x:v>
      </x:c>
      <x:c r="C85" s="1" t="str">
        <x:v>Stadshypotek AB</x:v>
      </x:c>
      <x:c r="D85" s="30" t="str">
        <x:v>02-279136</x:v>
      </x:c>
      <x:c r="E85" s="21" t="n">
        <x:v>1249</x:v>
      </x:c>
      <x:c r="F85" s="31" t="n">
        <x:f>SUMIF('Lånedetaljer'!$O$6:$O$434,H85,'Lånedetaljer'!$N$6:$N$434)</x:f>
        <x:v>1249</x:v>
      </x:c>
      <x:c r="G85" s="21" t="n">
        <x:f>E85-F85</x:f>
        <x:v>0</x:v>
      </x:c>
      <x:c r="H85" s="1" t="str">
        <x:v>2019-12-01_02-279136.pdf</x:v>
      </x:c>
      <x:c r="I85" s="1" t="str"/>
    </x:row>
    <x:row r="86">
      <x:c r="A86" s="20" t="n">
        <x:v>43831</x:v>
      </x:c>
      <x:c r="B86" s="1" t="str">
        <x:v>Bolån</x:v>
      </x:c>
      <x:c r="C86" s="1" t="str">
        <x:v>Stadshypotek AB</x:v>
      </x:c>
      <x:c r="D86" s="30" t="str">
        <x:v>02-279136</x:v>
      </x:c>
      <x:c r="E86" s="21" t="n">
        <x:v>1249</x:v>
      </x:c>
      <x:c r="F86" s="31" t="n">
        <x:f>SUMIF('Lånedetaljer'!$O$6:$O$434,H86,'Lånedetaljer'!$N$6:$N$434)</x:f>
        <x:v>1249</x:v>
      </x:c>
      <x:c r="G86" s="21" t="n">
        <x:f>E86-F86</x:f>
        <x:v>0</x:v>
      </x:c>
      <x:c r="H86" s="1" t="str">
        <x:v>2020-01-01_02-279136.pdf</x:v>
      </x:c>
      <x:c r="I86" s="1" t="str"/>
    </x:row>
    <x:row r="87">
      <x:c r="A87" s="20" t="n">
        <x:v>43862</x:v>
      </x:c>
      <x:c r="B87" s="1" t="str">
        <x:v>Bolån</x:v>
      </x:c>
      <x:c r="C87" s="1" t="str">
        <x:v>Stadshypotek AB</x:v>
      </x:c>
      <x:c r="D87" s="30" t="str">
        <x:v>02-279136</x:v>
      </x:c>
      <x:c r="E87" s="21" t="n">
        <x:v>1333</x:v>
      </x:c>
      <x:c r="F87" s="31" t="n">
        <x:f>SUMIF('Lånedetaljer'!$O$6:$O$434,H87,'Lånedetaljer'!$N$6:$N$434)</x:f>
        <x:v>1333</x:v>
      </x:c>
      <x:c r="G87" s="21" t="n">
        <x:f>E87-F87</x:f>
        <x:v>0</x:v>
      </x:c>
      <x:c r="H87" s="1" t="str">
        <x:v>2020-02-01_02-279136.pdf</x:v>
      </x:c>
      <x:c r="I87" s="1" t="str"/>
    </x:row>
    <x:row r="88">
      <x:c r="A88" s="20" t="n">
        <x:v>43891</x:v>
      </x:c>
      <x:c r="B88" s="1" t="str">
        <x:v>Bolån</x:v>
      </x:c>
      <x:c r="C88" s="1" t="str">
        <x:v>Stadshypotek AB</x:v>
      </x:c>
      <x:c r="D88" s="30" t="str">
        <x:v>02-279136</x:v>
      </x:c>
      <x:c r="E88" s="21" t="n">
        <x:v>1333</x:v>
      </x:c>
      <x:c r="F88" s="31" t="n">
        <x:f>SUMIF('Lånedetaljer'!$O$6:$O$434,H88,'Lånedetaljer'!$N$6:$N$434)</x:f>
        <x:v>1333</x:v>
      </x:c>
      <x:c r="G88" s="21" t="n">
        <x:f>E88-F88</x:f>
        <x:v>0</x:v>
      </x:c>
      <x:c r="H88" s="1" t="str">
        <x:v>2020-03-01_02-279136.pdf</x:v>
      </x:c>
      <x:c r="I88" s="1" t="str"/>
    </x:row>
    <x:row r="89">
      <x:c r="A89" s="20" t="n">
        <x:v>43922</x:v>
      </x:c>
      <x:c r="B89" s="1" t="str">
        <x:v>Bolån</x:v>
      </x:c>
      <x:c r="C89" s="1" t="str">
        <x:v>Stadshypotek AB</x:v>
      </x:c>
      <x:c r="D89" s="30" t="str">
        <x:v>02-279136</x:v>
      </x:c>
      <x:c r="E89" s="21" t="n">
        <x:v>1406</x:v>
      </x:c>
      <x:c r="F89" s="31" t="n">
        <x:f>SUMIF('Lånedetaljer'!$O$6:$O$434,H89,'Lånedetaljer'!$N$6:$N$434)</x:f>
        <x:v>1406</x:v>
      </x:c>
      <x:c r="G89" s="21" t="n">
        <x:f>E89-F89</x:f>
        <x:v>0</x:v>
      </x:c>
      <x:c r="H89" s="1" t="str">
        <x:v>2020-04-01_02-279136.pdf</x:v>
      </x:c>
      <x:c r="I89" s="1" t="str"/>
    </x:row>
    <x:row r="90">
      <x:c r="A90" s="20" t="n">
        <x:v>43952</x:v>
      </x:c>
      <x:c r="B90" s="1" t="str">
        <x:v>Bolån</x:v>
      </x:c>
      <x:c r="C90" s="1" t="str">
        <x:v>Stadshypotek AB</x:v>
      </x:c>
      <x:c r="D90" s="30" t="str">
        <x:v>02-279136</x:v>
      </x:c>
      <x:c r="E90" s="21" t="n">
        <x:v>1406</x:v>
      </x:c>
      <x:c r="F90" s="31" t="n">
        <x:f>SUMIF('Lånedetaljer'!$O$6:$O$434,H90,'Lånedetaljer'!$N$6:$N$434)</x:f>
        <x:v>1406</x:v>
      </x:c>
      <x:c r="G90" s="21" t="n">
        <x:f>E90-F90</x:f>
        <x:v>0</x:v>
      </x:c>
      <x:c r="H90" s="1" t="str">
        <x:v>2020-05-01_02-279136.pdf</x:v>
      </x:c>
      <x:c r="I90" s="1" t="str"/>
    </x:row>
    <x:row r="91">
      <x:c r="A91" s="20" t="n">
        <x:v>43983</x:v>
      </x:c>
      <x:c r="B91" s="1" t="str">
        <x:v>Bolån</x:v>
      </x:c>
      <x:c r="C91" s="1" t="str">
        <x:v>Stadshypotek AB</x:v>
      </x:c>
      <x:c r="D91" s="30" t="str">
        <x:v>02-279136</x:v>
      </x:c>
      <x:c r="E91" s="21" t="n">
        <x:v>1406</x:v>
      </x:c>
      <x:c r="F91" s="31" t="n">
        <x:f>SUMIF('Lånedetaljer'!$O$6:$O$434,H91,'Lånedetaljer'!$N$6:$N$434)</x:f>
        <x:v>1406</x:v>
      </x:c>
      <x:c r="G91" s="21" t="n">
        <x:f>E91-F91</x:f>
        <x:v>0</x:v>
      </x:c>
      <x:c r="H91" s="1" t="str">
        <x:v>2020-06-01_02-279136.pdf</x:v>
      </x:c>
      <x:c r="I91" s="1" t="str"/>
    </x:row>
    <x:row r="92">
      <x:c r="A92" s="20" t="n">
        <x:v>44013</x:v>
      </x:c>
      <x:c r="B92" s="1" t="str">
        <x:v>Bolån</x:v>
      </x:c>
      <x:c r="C92" s="1" t="str">
        <x:v>Stadshypotek AB</x:v>
      </x:c>
      <x:c r="D92" s="30" t="str">
        <x:v>02-279136</x:v>
      </x:c>
      <x:c r="E92" s="21" t="n">
        <x:v>1406</x:v>
      </x:c>
      <x:c r="F92" s="31" t="n">
        <x:f>SUMIF('Lånedetaljer'!$O$6:$O$434,H92,'Lånedetaljer'!$N$6:$N$434)</x:f>
        <x:v>1406</x:v>
      </x:c>
      <x:c r="G92" s="21" t="n">
        <x:f>E92-F92</x:f>
        <x:v>0</x:v>
      </x:c>
      <x:c r="H92" s="1" t="str">
        <x:v>2020-07-01_02-279136.pdf</x:v>
      </x:c>
      <x:c r="I92" s="1" t="str"/>
    </x:row>
    <x:row r="93">
      <x:c r="A93" s="20" t="n">
        <x:v>44044</x:v>
      </x:c>
      <x:c r="B93" s="1" t="str">
        <x:v>Bolån</x:v>
      </x:c>
      <x:c r="C93" s="1" t="str">
        <x:v>Stadshypotek AB</x:v>
      </x:c>
      <x:c r="D93" s="30" t="str">
        <x:v>02-279136</x:v>
      </x:c>
      <x:c r="E93" s="21" t="n">
        <x:v>1572</x:v>
      </x:c>
      <x:c r="F93" s="31" t="n">
        <x:f>SUMIF('Lånedetaljer'!$O$6:$O$434,H93,'Lånedetaljer'!$N$6:$N$434)</x:f>
        <x:v>1572</x:v>
      </x:c>
      <x:c r="G93" s="21" t="n">
        <x:f>E93-F93</x:f>
        <x:v>0</x:v>
      </x:c>
      <x:c r="H93" s="1" t="str">
        <x:v>2020-08-01_02-279136.pdf</x:v>
      </x:c>
      <x:c r="I93" s="1" t="str"/>
    </x:row>
    <x:row r="94">
      <x:c r="A94" s="20" t="n">
        <x:v>44075</x:v>
      </x:c>
      <x:c r="B94" s="1" t="str">
        <x:v>Bolån</x:v>
      </x:c>
      <x:c r="C94" s="1" t="str">
        <x:v>Stadshypotek AB</x:v>
      </x:c>
      <x:c r="D94" s="30" t="str">
        <x:v>02-279136</x:v>
      </x:c>
      <x:c r="E94" s="21" t="n">
        <x:v>1572</x:v>
      </x:c>
      <x:c r="F94" s="31" t="n">
        <x:f>SUMIF('Lånedetaljer'!$O$6:$O$434,H94,'Lånedetaljer'!$N$6:$N$434)</x:f>
        <x:v>1572</x:v>
      </x:c>
      <x:c r="G94" s="21" t="n">
        <x:f>E94-F94</x:f>
        <x:v>0</x:v>
      </x:c>
      <x:c r="H94" s="1" t="str">
        <x:v>2020-09-01_02-279136.pdf</x:v>
      </x:c>
      <x:c r="I94" s="1" t="str"/>
    </x:row>
    <x:row r="95">
      <x:c r="A95" s="20" t="n">
        <x:v>44105</x:v>
      </x:c>
      <x:c r="B95" s="1" t="str">
        <x:v>Bolån</x:v>
      </x:c>
      <x:c r="C95" s="1" t="str">
        <x:v>Stadshypotek AB</x:v>
      </x:c>
      <x:c r="D95" s="30" t="str">
        <x:v>02-279136</x:v>
      </x:c>
      <x:c r="E95" s="21" t="n">
        <x:v>1552</x:v>
      </x:c>
      <x:c r="F95" s="31" t="n">
        <x:f>SUMIF('Lånedetaljer'!$O$6:$O$434,H95,'Lånedetaljer'!$N$6:$N$434)</x:f>
        <x:v>1552</x:v>
      </x:c>
      <x:c r="G95" s="21" t="n">
        <x:f>E95-F95</x:f>
        <x:v>0</x:v>
      </x:c>
      <x:c r="H95" s="1" t="str">
        <x:v>2020-10-01_02-279136.pdf</x:v>
      </x:c>
      <x:c r="I95" s="1" t="str"/>
    </x:row>
    <x:row r="96">
      <x:c r="A96" s="20" t="n">
        <x:v>44136</x:v>
      </x:c>
      <x:c r="B96" s="1" t="str">
        <x:v>Bolån</x:v>
      </x:c>
      <x:c r="C96" s="1" t="str">
        <x:v>Stadshypotek AB</x:v>
      </x:c>
      <x:c r="D96" s="30" t="str">
        <x:v>02-279136</x:v>
      </x:c>
      <x:c r="E96" s="21" t="n">
        <x:v>1516</x:v>
      </x:c>
      <x:c r="F96" s="31" t="n">
        <x:f>SUMIF('Lånedetaljer'!$O$6:$O$434,H96,'Lånedetaljer'!$N$6:$N$434)</x:f>
        <x:v>1516</x:v>
      </x:c>
      <x:c r="G96" s="21" t="n">
        <x:f>E96-F96</x:f>
        <x:v>0</x:v>
      </x:c>
      <x:c r="H96" s="1" t="str">
        <x:v>2020-11-01_02-279136.pdf</x:v>
      </x:c>
      <x:c r="I96" s="1" t="str"/>
    </x:row>
    <x:row r="97">
      <x:c r="A97" s="20" t="n">
        <x:v>44166</x:v>
      </x:c>
      <x:c r="B97" s="1" t="str">
        <x:v>Bolån</x:v>
      </x:c>
      <x:c r="C97" s="1" t="str">
        <x:v>Stadshypotek AB</x:v>
      </x:c>
      <x:c r="D97" s="30" t="str">
        <x:v>02-279136</x:v>
      </x:c>
      <x:c r="E97" s="21" t="n">
        <x:v>1516</x:v>
      </x:c>
      <x:c r="F97" s="31" t="n">
        <x:f>SUMIF('Lånedetaljer'!$O$6:$O$434,H97,'Lånedetaljer'!$N$6:$N$434)</x:f>
        <x:v>1516</x:v>
      </x:c>
      <x:c r="G97" s="21" t="n">
        <x:f>E97-F97</x:f>
        <x:v>0</x:v>
      </x:c>
      <x:c r="H97" s="1" t="str">
        <x:v>2020-12-01_02-279136.pdf</x:v>
      </x:c>
      <x:c r="I97" s="1" t="str"/>
    </x:row>
    <x:row r="98">
      <x:c r="A98" s="20" t="n">
        <x:v>44197</x:v>
      </x:c>
      <x:c r="B98" s="1" t="str">
        <x:v>Bolån</x:v>
      </x:c>
      <x:c r="C98" s="1" t="str">
        <x:v>Stadshypotek AB</x:v>
      </x:c>
      <x:c r="D98" s="30" t="str">
        <x:v>02-279136</x:v>
      </x:c>
      <x:c r="E98" s="21" t="n">
        <x:v>1489</x:v>
      </x:c>
      <x:c r="F98" s="31" t="n">
        <x:f>SUMIF('Lånedetaljer'!$O$6:$O$434,H98,'Lånedetaljer'!$N$6:$N$434)</x:f>
        <x:v>1489</x:v>
      </x:c>
      <x:c r="G98" s="21" t="n">
        <x:f>E98-F98</x:f>
        <x:v>0</x:v>
      </x:c>
      <x:c r="H98" s="1" t="str">
        <x:v>2021-01-01_02-279136.pdf</x:v>
      </x:c>
      <x:c r="I98" s="1" t="str"/>
    </x:row>
    <x:row r="99">
      <x:c r="A99" s="20" t="n">
        <x:v>44228</x:v>
      </x:c>
      <x:c r="B99" s="1" t="str">
        <x:v>Bolån</x:v>
      </x:c>
      <x:c r="C99" s="1" t="str">
        <x:v>Stadshypotek AB</x:v>
      </x:c>
      <x:c r="D99" s="30" t="str">
        <x:v>02-279136</x:v>
      </x:c>
      <x:c r="E99" s="21" t="n">
        <x:v>1472</x:v>
      </x:c>
      <x:c r="F99" s="31" t="n">
        <x:f>SUMIF('Lånedetaljer'!$O$6:$O$434,H99,'Lånedetaljer'!$N$6:$N$434)</x:f>
        <x:v>1472</x:v>
      </x:c>
      <x:c r="G99" s="21" t="n">
        <x:f>E99-F99</x:f>
        <x:v>0</x:v>
      </x:c>
      <x:c r="H99" s="1" t="str">
        <x:v>2021-02-01_02-279136.pdf</x:v>
      </x:c>
      <x:c r="I99" s="1" t="str"/>
    </x:row>
    <x:row r="100">
      <x:c r="A100" s="20" t="n">
        <x:v>44256</x:v>
      </x:c>
      <x:c r="B100" s="1" t="str">
        <x:v>Bolån</x:v>
      </x:c>
      <x:c r="C100" s="1" t="str">
        <x:v>Stadshypotek AB</x:v>
      </x:c>
      <x:c r="D100" s="30" t="str">
        <x:v>02-279136</x:v>
      </x:c>
      <x:c r="E100" s="21" t="n">
        <x:v>1472</x:v>
      </x:c>
      <x:c r="F100" s="31" t="n">
        <x:f>SUMIF('Lånedetaljer'!$O$6:$O$434,H100,'Lånedetaljer'!$N$6:$N$434)</x:f>
        <x:v>1472</x:v>
      </x:c>
      <x:c r="G100" s="21" t="n">
        <x:f>E100-F100</x:f>
        <x:v>0</x:v>
      </x:c>
      <x:c r="H100" s="1" t="str">
        <x:v>2021-03-01_02-279136.pdf</x:v>
      </x:c>
      <x:c r="I100" s="1" t="str"/>
    </x:row>
    <x:row r="101">
      <x:c r="A101" s="20" t="n">
        <x:v>44287</x:v>
      </x:c>
      <x:c r="B101" s="1" t="str">
        <x:v>Bolån</x:v>
      </x:c>
      <x:c r="C101" s="1" t="str">
        <x:v>Stadshypotek AB</x:v>
      </x:c>
      <x:c r="D101" s="30" t="str">
        <x:v>02-279136</x:v>
      </x:c>
      <x:c r="E101" s="21" t="n">
        <x:v>1472</x:v>
      </x:c>
      <x:c r="F101" s="31" t="n">
        <x:f>SUMIF('Lånedetaljer'!$O$6:$O$434,H101,'Lånedetaljer'!$N$6:$N$434)</x:f>
        <x:v>1472</x:v>
      </x:c>
      <x:c r="G101" s="21" t="n">
        <x:f>E101-F101</x:f>
        <x:v>0</x:v>
      </x:c>
      <x:c r="H101" s="1" t="str">
        <x:v>2021-04-01_02-279136.pdf</x:v>
      </x:c>
      <x:c r="I101" s="1" t="str"/>
    </x:row>
    <x:row r="102">
      <x:c r="A102" s="20" t="n">
        <x:v>44317</x:v>
      </x:c>
      <x:c r="B102" s="1" t="str">
        <x:v>Bolån</x:v>
      </x:c>
      <x:c r="C102" s="1" t="str">
        <x:v>Stadshypotek AB</x:v>
      </x:c>
      <x:c r="D102" s="30" t="str">
        <x:v>02-279136</x:v>
      </x:c>
      <x:c r="E102" s="21" t="n">
        <x:v>1472</x:v>
      </x:c>
      <x:c r="F102" s="31" t="n">
        <x:f>SUMIF('Lånedetaljer'!$O$6:$O$434,H102,'Lånedetaljer'!$N$6:$N$434)</x:f>
        <x:v>1472</x:v>
      </x:c>
      <x:c r="G102" s="21" t="n">
        <x:f>E102-F102</x:f>
        <x:v>0</x:v>
      </x:c>
      <x:c r="H102" s="1" t="str">
        <x:v>2021-05-01_02-279136.pdf</x:v>
      </x:c>
      <x:c r="I102" s="1" t="str"/>
    </x:row>
    <x:row r="103">
      <x:c r="A103" s="20" t="n">
        <x:v>44348</x:v>
      </x:c>
      <x:c r="B103" s="1" t="str">
        <x:v>Bolån</x:v>
      </x:c>
      <x:c r="C103" s="1" t="str">
        <x:v>Stadshypotek AB</x:v>
      </x:c>
      <x:c r="D103" s="30" t="str">
        <x:v>02-279136</x:v>
      </x:c>
      <x:c r="E103" s="21" t="n">
        <x:v>1472</x:v>
      </x:c>
      <x:c r="F103" s="31" t="n">
        <x:f>SUMIF('Lånedetaljer'!$O$6:$O$434,H103,'Lånedetaljer'!$N$6:$N$434)</x:f>
        <x:v>1472</x:v>
      </x:c>
      <x:c r="G103" s="21" t="n">
        <x:f>E103-F103</x:f>
        <x:v>0</x:v>
      </x:c>
      <x:c r="H103" s="1" t="str">
        <x:v>2021-06-01_02-279136.pdf</x:v>
      </x:c>
      <x:c r="I103" s="1" t="str"/>
    </x:row>
    <x:row r="104">
      <x:c r="A104" s="20" t="n">
        <x:v>44378</x:v>
      </x:c>
      <x:c r="B104" s="1" t="str">
        <x:v>Bolån</x:v>
      </x:c>
      <x:c r="C104" s="1" t="str">
        <x:v>Stadshypotek AB</x:v>
      </x:c>
      <x:c r="D104" s="30" t="str">
        <x:v>02-279136</x:v>
      </x:c>
      <x:c r="E104" s="21" t="n">
        <x:v>1472</x:v>
      </x:c>
      <x:c r="F104" s="31" t="n">
        <x:f>SUMIF('Lånedetaljer'!$O$6:$O$434,H104,'Lånedetaljer'!$N$6:$N$434)</x:f>
        <x:v>1472</x:v>
      </x:c>
      <x:c r="G104" s="21" t="n">
        <x:f>E104-F104</x:f>
        <x:v>0</x:v>
      </x:c>
      <x:c r="H104" s="1" t="str">
        <x:v>2021-07-01_02-279136.pdf</x:v>
      </x:c>
      <x:c r="I104" s="1" t="str"/>
    </x:row>
    <x:row r="105">
      <x:c r="A105" s="20" t="n">
        <x:v>44409</x:v>
      </x:c>
      <x:c r="B105" s="1" t="str">
        <x:v>Bolån</x:v>
      </x:c>
      <x:c r="C105" s="1" t="str">
        <x:v>Stadshypotek AB</x:v>
      </x:c>
      <x:c r="D105" s="30" t="str">
        <x:v>02-279136</x:v>
      </x:c>
      <x:c r="E105" s="21" t="n">
        <x:v>1472</x:v>
      </x:c>
      <x:c r="F105" s="31" t="n">
        <x:f>SUMIF('Lånedetaljer'!$O$6:$O$434,H105,'Lånedetaljer'!$N$6:$N$434)</x:f>
        <x:v>1472</x:v>
      </x:c>
      <x:c r="G105" s="21" t="n">
        <x:f>E105-F105</x:f>
        <x:v>0</x:v>
      </x:c>
      <x:c r="H105" s="1" t="str">
        <x:v>2021-08-01_02-279136.pdf</x:v>
      </x:c>
      <x:c r="I105" s="1" t="str"/>
    </x:row>
    <x:row r="106">
      <x:c r="A106" s="20" t="n">
        <x:v>44440</x:v>
      </x:c>
      <x:c r="B106" s="1" t="str">
        <x:v>Bolån</x:v>
      </x:c>
      <x:c r="C106" s="1" t="str">
        <x:v>Stadshypotek AB</x:v>
      </x:c>
      <x:c r="D106" s="30" t="str">
        <x:v>02-279136</x:v>
      </x:c>
      <x:c r="E106" s="21" t="n">
        <x:v>1472</x:v>
      </x:c>
      <x:c r="F106" s="31" t="n">
        <x:f>SUMIF('Lånedetaljer'!$O$6:$O$434,H106,'Lånedetaljer'!$N$6:$N$434)</x:f>
        <x:v>1472</x:v>
      </x:c>
      <x:c r="G106" s="21" t="n">
        <x:f>E106-F106</x:f>
        <x:v>0</x:v>
      </x:c>
      <x:c r="H106" s="1" t="str">
        <x:v>2021-09-01_02-279136.pdf</x:v>
      </x:c>
      <x:c r="I106" s="1" t="str"/>
    </x:row>
    <x:row r="107">
      <x:c r="A107" s="20" t="n">
        <x:v>44470</x:v>
      </x:c>
      <x:c r="B107" s="1" t="str">
        <x:v>Bolån</x:v>
      </x:c>
      <x:c r="C107" s="1" t="str">
        <x:v>Stadshypotek AB</x:v>
      </x:c>
      <x:c r="D107" s="30" t="str">
        <x:v>02-279136</x:v>
      </x:c>
      <x:c r="E107" s="21" t="n">
        <x:v>1472</x:v>
      </x:c>
      <x:c r="F107" s="31" t="n">
        <x:f>SUMIF('Lånedetaljer'!$O$6:$O$434,H107,'Lånedetaljer'!$N$6:$N$434)</x:f>
        <x:v>1472</x:v>
      </x:c>
      <x:c r="G107" s="21" t="n">
        <x:f>E107-F107</x:f>
        <x:v>0</x:v>
      </x:c>
      <x:c r="H107" s="1" t="str">
        <x:v>2021-10-01_02-279136.pdf</x:v>
      </x:c>
      <x:c r="I107" s="1" t="str"/>
    </x:row>
    <x:row r="108">
      <x:c r="A108" s="20" t="n">
        <x:v>44501</x:v>
      </x:c>
      <x:c r="B108" s="1" t="str">
        <x:v>Bolån</x:v>
      </x:c>
      <x:c r="C108" s="1" t="str">
        <x:v>Stadshypotek AB</x:v>
      </x:c>
      <x:c r="D108" s="30" t="str">
        <x:v>02-279136</x:v>
      </x:c>
      <x:c r="E108" s="21" t="n">
        <x:v>1472</x:v>
      </x:c>
      <x:c r="F108" s="31" t="n">
        <x:f>SUMIF('Lånedetaljer'!$O$6:$O$434,H108,'Lånedetaljer'!$N$6:$N$434)</x:f>
        <x:v>1472</x:v>
      </x:c>
      <x:c r="G108" s="21" t="n">
        <x:f>E108-F108</x:f>
        <x:v>0</x:v>
      </x:c>
      <x:c r="H108" s="1" t="str">
        <x:v>2021-11-01_02-279136.pdf</x:v>
      </x:c>
      <x:c r="I108" s="1" t="str"/>
    </x:row>
    <x:row r="109">
      <x:c r="A109" s="20" t="n">
        <x:v>44531</x:v>
      </x:c>
      <x:c r="B109" s="1" t="str">
        <x:v>Bolån</x:v>
      </x:c>
      <x:c r="C109" s="1" t="str">
        <x:v>Stadshypotek AB</x:v>
      </x:c>
      <x:c r="D109" s="30" t="str">
        <x:v>02-279136</x:v>
      </x:c>
      <x:c r="E109" s="21" t="n">
        <x:v>1472</x:v>
      </x:c>
      <x:c r="F109" s="31" t="n">
        <x:f>SUMIF('Lånedetaljer'!$O$6:$O$434,H109,'Lånedetaljer'!$N$6:$N$434)</x:f>
        <x:v>1472</x:v>
      </x:c>
      <x:c r="G109" s="21" t="n">
        <x:f>E109-F109</x:f>
        <x:v>0</x:v>
      </x:c>
      <x:c r="H109" s="1" t="str">
        <x:v>2021-12-01_02-279136.pdf</x:v>
      </x:c>
      <x:c r="I109" s="1" t="str"/>
    </x:row>
    <x:row r="110">
      <x:c r="A110" s="20" t="n">
        <x:v>44562</x:v>
      </x:c>
      <x:c r="B110" s="1" t="str">
        <x:v>Bolån</x:v>
      </x:c>
      <x:c r="C110" s="1" t="str">
        <x:v>Stadshypotek AB</x:v>
      </x:c>
      <x:c r="D110" s="30" t="str">
        <x:v>02-279136</x:v>
      </x:c>
      <x:c r="E110" s="21" t="n">
        <x:v>1472</x:v>
      </x:c>
      <x:c r="F110" s="31" t="n">
        <x:f>SUMIF('Lånedetaljer'!$O$6:$O$434,H110,'Lånedetaljer'!$N$6:$N$434)</x:f>
        <x:v>1472</x:v>
      </x:c>
      <x:c r="G110" s="21" t="n">
        <x:f>E110-F110</x:f>
        <x:v>0</x:v>
      </x:c>
      <x:c r="H110" s="1" t="str">
        <x:v>2022-01-01_02-279136.pdf</x:v>
      </x:c>
      <x:c r="I110" s="1" t="str"/>
    </x:row>
    <x:row r="111">
      <x:c r="A111" s="20" t="n">
        <x:v>44593</x:v>
      </x:c>
      <x:c r="B111" s="1" t="str">
        <x:v>Bolån</x:v>
      </x:c>
      <x:c r="C111" s="1" t="str">
        <x:v>Stadshypotek AB</x:v>
      </x:c>
      <x:c r="D111" s="30" t="str">
        <x:v>02-279136</x:v>
      </x:c>
      <x:c r="E111" s="21" t="n">
        <x:v>1472</x:v>
      </x:c>
      <x:c r="F111" s="31" t="n">
        <x:f>SUMIF('Lånedetaljer'!$O$6:$O$434,H111,'Lånedetaljer'!$N$6:$N$434)</x:f>
        <x:v>1472</x:v>
      </x:c>
      <x:c r="G111" s="21" t="n">
        <x:f>E111-F111</x:f>
        <x:v>0</x:v>
      </x:c>
      <x:c r="H111" s="1" t="str">
        <x:v>2022-02-01_02-279136.pdf</x:v>
      </x:c>
      <x:c r="I111" s="1" t="str"/>
    </x:row>
    <x:row r="112">
      <x:c r="A112" s="20" t="n">
        <x:v>44621</x:v>
      </x:c>
      <x:c r="B112" s="1" t="str">
        <x:v>Bolån</x:v>
      </x:c>
      <x:c r="C112" s="1" t="str">
        <x:v>Stadshypotek AB</x:v>
      </x:c>
      <x:c r="D112" s="30" t="str">
        <x:v>02-279136</x:v>
      </x:c>
      <x:c r="E112" s="21" t="n">
        <x:v>1472</x:v>
      </x:c>
      <x:c r="F112" s="31" t="n">
        <x:f>SUMIF('Lånedetaljer'!$O$6:$O$434,H112,'Lånedetaljer'!$N$6:$N$434)</x:f>
        <x:v>1472</x:v>
      </x:c>
      <x:c r="G112" s="21" t="n">
        <x:f>E112-F112</x:f>
        <x:v>0</x:v>
      </x:c>
      <x:c r="H112" s="1" t="str">
        <x:v>2022-03-01_02-279136.pdf</x:v>
      </x:c>
      <x:c r="I112" s="1" t="str"/>
    </x:row>
    <x:row r="113">
      <x:c r="A113" s="20" t="n">
        <x:v>44652</x:v>
      </x:c>
      <x:c r="B113" s="1" t="str">
        <x:v>Bolån</x:v>
      </x:c>
      <x:c r="C113" s="1" t="str">
        <x:v>Stadshypotek AB</x:v>
      </x:c>
      <x:c r="D113" s="30" t="str">
        <x:v>02-279136</x:v>
      </x:c>
      <x:c r="E113" s="21" t="n">
        <x:v>1488</x:v>
      </x:c>
      <x:c r="F113" s="31" t="n">
        <x:f>SUMIF('Lånedetaljer'!$O$6:$O$434,H113,'Lånedetaljer'!$N$6:$N$434)</x:f>
        <x:v>1488</x:v>
      </x:c>
      <x:c r="G113" s="21" t="n">
        <x:f>E113-F113</x:f>
        <x:v>0</x:v>
      </x:c>
      <x:c r="H113" s="1" t="str">
        <x:v>2022-04-01_02-279136.pdf</x:v>
      </x:c>
      <x:c r="I113" s="1" t="str"/>
    </x:row>
    <x:row r="114">
      <x:c r="A114" s="20" t="n">
        <x:v>44682</x:v>
      </x:c>
      <x:c r="B114" s="1" t="str">
        <x:v>Bolån</x:v>
      </x:c>
      <x:c r="C114" s="1" t="str">
        <x:v>Stadshypotek AB</x:v>
      </x:c>
      <x:c r="D114" s="30" t="str">
        <x:v>02-279136</x:v>
      </x:c>
      <x:c r="E114" s="21" t="n">
        <x:v>1505</x:v>
      </x:c>
      <x:c r="F114" s="31" t="n">
        <x:f>SUMIF('Lånedetaljer'!$O$6:$O$434,H114,'Lånedetaljer'!$N$6:$N$434)</x:f>
        <x:v>1505</x:v>
      </x:c>
      <x:c r="G114" s="21" t="n">
        <x:f>E114-F114</x:f>
        <x:v>0</x:v>
      </x:c>
      <x:c r="H114" s="1" t="str">
        <x:v>2022-05-01_02-279136.pdf</x:v>
      </x:c>
      <x:c r="I114" s="1" t="str"/>
    </x:row>
    <x:row r="115">
      <x:c r="A115" s="20" t="n">
        <x:v>44713</x:v>
      </x:c>
      <x:c r="B115" s="1" t="str">
        <x:v>Bolån</x:v>
      </x:c>
      <x:c r="C115" s="1" t="str">
        <x:v>Stadshypotek AB</x:v>
      </x:c>
      <x:c r="D115" s="30" t="str">
        <x:v>02-279136</x:v>
      </x:c>
      <x:c r="E115" s="21" t="n">
        <x:v>1505</x:v>
      </x:c>
      <x:c r="F115" s="31" t="n">
        <x:f>SUMIF('Lånedetaljer'!$O$6:$O$434,H115,'Lånedetaljer'!$N$6:$N$434)</x:f>
        <x:v>1505</x:v>
      </x:c>
      <x:c r="G115" s="21" t="n">
        <x:f>E115-F115</x:f>
        <x:v>0</x:v>
      </x:c>
      <x:c r="H115" s="1" t="str">
        <x:v>2022-06-01_02-279136.pdf</x:v>
      </x:c>
      <x:c r="I115" s="1" t="str"/>
    </x:row>
    <x:row r="116">
      <x:c r="A116" s="20" t="n">
        <x:v>44743</x:v>
      </x:c>
      <x:c r="B116" s="1" t="str">
        <x:v>Bolån</x:v>
      </x:c>
      <x:c r="C116" s="1" t="str">
        <x:v>Stadshypotek AB</x:v>
      </x:c>
      <x:c r="D116" s="30" t="str">
        <x:v>02-279136</x:v>
      </x:c>
      <x:c r="E116" s="21" t="n">
        <x:v>1593</x:v>
      </x:c>
      <x:c r="F116" s="31" t="n">
        <x:f>SUMIF('Lånedetaljer'!$O$6:$O$434,H116,'Lånedetaljer'!$N$6:$N$434)</x:f>
        <x:v>1593</x:v>
      </x:c>
      <x:c r="G116" s="21" t="n">
        <x:f>E116-F116</x:f>
        <x:v>0</x:v>
      </x:c>
      <x:c r="H116" s="1" t="str">
        <x:v>2022-07-01_02-279136.pdf</x:v>
      </x:c>
      <x:c r="I116" s="1" t="str"/>
    </x:row>
    <x:row r="117">
      <x:c r="A117" s="20" t="n">
        <x:v>44774</x:v>
      </x:c>
      <x:c r="B117" s="1" t="str">
        <x:v>Bolån</x:v>
      </x:c>
      <x:c r="C117" s="1" t="str">
        <x:v>Stadshypotek AB</x:v>
      </x:c>
      <x:c r="D117" s="30" t="str">
        <x:v>02-279136</x:v>
      </x:c>
      <x:c r="E117" s="21" t="n">
        <x:v>1859</x:v>
      </x:c>
      <x:c r="F117" s="31" t="n">
        <x:f>SUMIF('Lånedetaljer'!$O$6:$O$434,H117,'Lånedetaljer'!$N$6:$N$434)</x:f>
        <x:v>1859</x:v>
      </x:c>
      <x:c r="G117" s="21" t="n">
        <x:f>E117-F117</x:f>
        <x:v>0</x:v>
      </x:c>
      <x:c r="H117" s="1" t="str">
        <x:v>2022-08-01_02-279136.pdf</x:v>
      </x:c>
      <x:c r="I117" s="1" t="str"/>
    </x:row>
    <x:row r="118">
      <x:c r="A118" s="20" t="n">
        <x:v>44805</x:v>
      </x:c>
      <x:c r="B118" s="1" t="str">
        <x:v>Bolån</x:v>
      </x:c>
      <x:c r="C118" s="1" t="str">
        <x:v>Stadshypotek AB</x:v>
      </x:c>
      <x:c r="D118" s="30" t="str">
        <x:v>02-279136</x:v>
      </x:c>
      <x:c r="E118" s="21" t="n">
        <x:v>1859</x:v>
      </x:c>
      <x:c r="F118" s="31" t="n">
        <x:f>SUMIF('Lånedetaljer'!$O$6:$O$434,H118,'Lånedetaljer'!$N$6:$N$434)</x:f>
        <x:v>1859</x:v>
      </x:c>
      <x:c r="G118" s="21" t="n">
        <x:f>E118-F118</x:f>
        <x:v>0</x:v>
      </x:c>
      <x:c r="H118" s="1" t="str">
        <x:v>2022-09-01_02-279136.pdf</x:v>
      </x:c>
      <x:c r="I118" s="1" t="str"/>
    </x:row>
    <x:row r="119">
      <x:c r="A119" s="20" t="n">
        <x:v>44835</x:v>
      </x:c>
      <x:c r="B119" s="1" t="str">
        <x:v>Bolån</x:v>
      </x:c>
      <x:c r="C119" s="1" t="str">
        <x:v>Stadshypotek AB</x:v>
      </x:c>
      <x:c r="D119" s="30" t="str">
        <x:v>02-279136</x:v>
      </x:c>
      <x:c r="E119" s="21" t="n">
        <x:v>2095</x:v>
      </x:c>
      <x:c r="F119" s="31" t="n">
        <x:f>SUMIF('Lånedetaljer'!$O$6:$O$434,H119,'Lånedetaljer'!$N$6:$N$434)</x:f>
        <x:v>2095</x:v>
      </x:c>
      <x:c r="G119" s="21" t="n">
        <x:f>E119-F119</x:f>
        <x:v>0</x:v>
      </x:c>
      <x:c r="H119" s="1" t="str">
        <x:v>2022-10-01_02-279136.pdf</x:v>
      </x:c>
      <x:c r="I119" s="1" t="str"/>
    </x:row>
    <x:row r="120">
      <x:c r="A120" s="20" t="n">
        <x:v>44866</x:v>
      </x:c>
      <x:c r="B120" s="1" t="str">
        <x:v>Bolån</x:v>
      </x:c>
      <x:c r="C120" s="1" t="str">
        <x:v>Stadshypotek AB</x:v>
      </x:c>
      <x:c r="D120" s="30" t="str">
        <x:v>02-279136</x:v>
      </x:c>
      <x:c r="E120" s="21" t="n">
        <x:v>2462</x:v>
      </x:c>
      <x:c r="F120" s="31" t="n">
        <x:f>SUMIF('Lånedetaljer'!$O$6:$O$434,H120,'Lånedetaljer'!$N$6:$N$434)</x:f>
        <x:v>2462</x:v>
      </x:c>
      <x:c r="G120" s="21" t="n">
        <x:f>E120-F120</x:f>
        <x:v>0</x:v>
      </x:c>
      <x:c r="H120" s="1" t="str">
        <x:v>2022-11-01_02-279136.pdf</x:v>
      </x:c>
      <x:c r="I120" s="1" t="str"/>
    </x:row>
    <x:row r="121">
      <x:c r="A121" s="20" t="n">
        <x:v>44896</x:v>
      </x:c>
      <x:c r="B121" s="1" t="str">
        <x:v>Bolån</x:v>
      </x:c>
      <x:c r="C121" s="1" t="str">
        <x:v>Stadshypotek AB</x:v>
      </x:c>
      <x:c r="D121" s="30" t="str">
        <x:v>02-279136</x:v>
      </x:c>
      <x:c r="E121" s="21" t="n">
        <x:v>2462</x:v>
      </x:c>
      <x:c r="F121" s="31" t="n">
        <x:f>SUMIF('Lånedetaljer'!$O$6:$O$434,H121,'Lånedetaljer'!$N$6:$N$434)</x:f>
        <x:v>2462</x:v>
      </x:c>
      <x:c r="G121" s="21" t="n">
        <x:f>E121-F121</x:f>
        <x:v>0</x:v>
      </x:c>
      <x:c r="H121" s="1" t="str">
        <x:v>2022-12-01_02-279136.pdf</x:v>
      </x:c>
      <x:c r="I121" s="1" t="str"/>
    </x:row>
    <x:row r="122">
      <x:c r="A122" s="20" t="n">
        <x:v>44927</x:v>
      </x:c>
      <x:c r="B122" s="1" t="str">
        <x:v>Bolån</x:v>
      </x:c>
      <x:c r="C122" s="1" t="str">
        <x:v>Stadshypotek AB</x:v>
      </x:c>
      <x:c r="D122" s="30" t="str">
        <x:v>02-279136</x:v>
      </x:c>
      <x:c r="E122" s="21" t="n">
        <x:v>2699</x:v>
      </x:c>
      <x:c r="F122" s="31" t="n">
        <x:f>SUMIF('Lånedetaljer'!$O$6:$O$434,H122,'Lånedetaljer'!$N$6:$N$434)</x:f>
        <x:v>2699</x:v>
      </x:c>
      <x:c r="G122" s="21" t="n">
        <x:f>E122-F122</x:f>
        <x:v>0</x:v>
      </x:c>
      <x:c r="H122" s="1" t="str">
        <x:v>2023-01-01_02-279136.pdf</x:v>
      </x:c>
      <x:c r="I122" s="1" t="str"/>
    </x:row>
    <x:row r="123">
      <x:c r="A123" s="20" t="n">
        <x:v>44958</x:v>
      </x:c>
      <x:c r="B123" s="1" t="str">
        <x:v>Bolån</x:v>
      </x:c>
      <x:c r="C123" s="1" t="str">
        <x:v>Stadshypotek AB</x:v>
      </x:c>
      <x:c r="D123" s="30" t="str">
        <x:v>02-279136</x:v>
      </x:c>
      <x:c r="E123" s="21" t="n">
        <x:v>2699</x:v>
      </x:c>
      <x:c r="F123" s="31" t="n">
        <x:f>SUMIF('Lånedetaljer'!$O$6:$O$434,H123,'Lånedetaljer'!$N$6:$N$434)</x:f>
        <x:v>2699</x:v>
      </x:c>
      <x:c r="G123" s="21" t="n">
        <x:f>E123-F123</x:f>
        <x:v>0</x:v>
      </x:c>
      <x:c r="H123" s="1" t="str">
        <x:v>2023-02-01_02-279136.pdf</x:v>
      </x:c>
      <x:c r="I123" s="1" t="str"/>
    </x:row>
    <x:row r="124">
      <x:c r="A124" s="20" t="n">
        <x:v>44986</x:v>
      </x:c>
      <x:c r="B124" s="1" t="str">
        <x:v>Bolån</x:v>
      </x:c>
      <x:c r="C124" s="1" t="str">
        <x:v>Stadshypotek AB</x:v>
      </x:c>
      <x:c r="D124" s="30" t="str">
        <x:v>02-279136</x:v>
      </x:c>
      <x:c r="E124" s="21" t="n">
        <x:v>2699</x:v>
      </x:c>
      <x:c r="F124" s="31" t="n">
        <x:f>SUMIF('Lånedetaljer'!$O$6:$O$434,H124,'Lånedetaljer'!$N$6:$N$434)</x:f>
        <x:v>2699</x:v>
      </x:c>
      <x:c r="G124" s="21" t="n">
        <x:f>E124-F124</x:f>
        <x:v>0</x:v>
      </x:c>
      <x:c r="H124" s="1" t="str">
        <x:v>2023-03-01_02-279136.pdf</x:v>
      </x:c>
      <x:c r="I124" s="1" t="str"/>
    </x:row>
    <x:row r="125">
      <x:c r="A125" s="20" t="n">
        <x:v>45017</x:v>
      </x:c>
      <x:c r="B125" s="1" t="str">
        <x:v>Bolån</x:v>
      </x:c>
      <x:c r="C125" s="1" t="str">
        <x:v>Stadshypotek AB</x:v>
      </x:c>
      <x:c r="D125" s="30" t="str">
        <x:v>02-279136</x:v>
      </x:c>
      <x:c r="E125" s="21" t="n">
        <x:v>2892</x:v>
      </x:c>
      <x:c r="F125" s="31" t="n">
        <x:f>SUMIF('Lånedetaljer'!$O$6:$O$434,H125,'Lånedetaljer'!$N$6:$N$434)</x:f>
        <x:v>2892</x:v>
      </x:c>
      <x:c r="G125" s="21" t="n">
        <x:f>E125-F125</x:f>
        <x:v>0</x:v>
      </x:c>
      <x:c r="H125" s="1" t="str">
        <x:v>2023-04-01_02-279136.pdf</x:v>
      </x:c>
      <x:c r="I125" s="1" t="str"/>
    </x:row>
    <x:row r="126">
      <x:c r="A126" s="20" t="n">
        <x:v>45047</x:v>
      </x:c>
      <x:c r="B126" s="1" t="str">
        <x:v>Bolån</x:v>
      </x:c>
      <x:c r="C126" s="1" t="str">
        <x:v>Stadshypotek AB</x:v>
      </x:c>
      <x:c r="D126" s="30" t="str">
        <x:v>02-279136</x:v>
      </x:c>
      <x:c r="E126" s="21" t="n">
        <x:v>3109</x:v>
      </x:c>
      <x:c r="F126" s="31" t="n">
        <x:f>SUMIF('Lånedetaljer'!$O$6:$O$434,H126,'Lånedetaljer'!$N$6:$N$434)</x:f>
        <x:v>3109</x:v>
      </x:c>
      <x:c r="G126" s="21" t="n">
        <x:f>E126-F126</x:f>
        <x:v>0</x:v>
      </x:c>
      <x:c r="H126" s="1" t="str">
        <x:v>2023-05-01_02-279136.pdf</x:v>
      </x:c>
      <x:c r="I126" s="1" t="str"/>
    </x:row>
    <x:row r="127">
      <x:c r="A127" s="20" t="n">
        <x:v>45078</x:v>
      </x:c>
      <x:c r="B127" s="1" t="str">
        <x:v>Bolån</x:v>
      </x:c>
      <x:c r="C127" s="1" t="str">
        <x:v>Stadshypotek AB</x:v>
      </x:c>
      <x:c r="D127" s="30" t="str">
        <x:v>02-279136</x:v>
      </x:c>
      <x:c r="E127" s="21" t="n">
        <x:v>3109</x:v>
      </x:c>
      <x:c r="F127" s="31" t="n">
        <x:f>SUMIF('Lånedetaljer'!$O$6:$O$434,H127,'Lånedetaljer'!$N$6:$N$434)</x:f>
        <x:v>3109</x:v>
      </x:c>
      <x:c r="G127" s="21" t="n">
        <x:f>E127-F127</x:f>
        <x:v>0</x:v>
      </x:c>
      <x:c r="H127" s="1" t="str">
        <x:v>2023-06-01_02-279136.pdf</x:v>
      </x:c>
      <x:c r="I127" s="1" t="str"/>
    </x:row>
    <x:row r="128">
      <x:c r="A128" s="20" t="n">
        <x:v>45108</x:v>
      </x:c>
      <x:c r="B128" s="1" t="str">
        <x:v>Bolån</x:v>
      </x:c>
      <x:c r="C128" s="1" t="str">
        <x:v>Stadshypotek AB</x:v>
      </x:c>
      <x:c r="D128" s="30" t="str">
        <x:v>02-279136</x:v>
      </x:c>
      <x:c r="E128" s="21" t="n">
        <x:v>3256</x:v>
      </x:c>
      <x:c r="F128" s="31" t="n">
        <x:f>SUMIF('Lånedetaljer'!$O$6:$O$434,H128,'Lånedetaljer'!$N$6:$N$434)</x:f>
        <x:v>3256</x:v>
      </x:c>
      <x:c r="G128" s="21" t="n">
        <x:f>E128-F128</x:f>
        <x:v>0</x:v>
      </x:c>
      <x:c r="H128" s="1" t="str">
        <x:v>2023-07-01_02-279136.pdf</x:v>
      </x:c>
      <x:c r="I128" s="1" t="str"/>
    </x:row>
    <x:row r="129">
      <x:c r="A129" s="20" t="n">
        <x:v>45139</x:v>
      </x:c>
      <x:c r="B129" s="1" t="str">
        <x:v>Bolån</x:v>
      </x:c>
      <x:c r="C129" s="1" t="str">
        <x:v>Stadshypotek AB</x:v>
      </x:c>
      <x:c r="D129" s="30" t="str">
        <x:v>02-279136</x:v>
      </x:c>
      <x:c r="E129" s="21" t="n">
        <x:v>3422</x:v>
      </x:c>
      <x:c r="F129" s="31" t="n">
        <x:f>SUMIF('Lånedetaljer'!$O$6:$O$434,H129,'Lånedetaljer'!$N$6:$N$434)</x:f>
        <x:v>3422</x:v>
      </x:c>
      <x:c r="G129" s="21" t="n">
        <x:f>E129-F129</x:f>
        <x:v>0</x:v>
      </x:c>
      <x:c r="H129" s="1" t="str">
        <x:v>2023-08-01_02-279136.pdf</x:v>
      </x:c>
      <x:c r="I129" s="1" t="str"/>
    </x:row>
    <x:row r="130">
      <x:c r="A130" s="20" t="n">
        <x:v>45170</x:v>
      </x:c>
      <x:c r="B130" s="1" t="str">
        <x:v>Bolån</x:v>
      </x:c>
      <x:c r="C130" s="1" t="str">
        <x:v>Stadshypotek AB</x:v>
      </x:c>
      <x:c r="D130" s="30" t="str">
        <x:v>02-279136</x:v>
      </x:c>
      <x:c r="E130" s="21" t="n">
        <x:v>3422</x:v>
      </x:c>
      <x:c r="F130" s="31" t="n">
        <x:f>SUMIF('Lånedetaljer'!$O$6:$O$434,H130,'Lånedetaljer'!$N$6:$N$434)</x:f>
        <x:v>3422</x:v>
      </x:c>
      <x:c r="G130" s="21" t="n">
        <x:f>E130-F130</x:f>
        <x:v>0</x:v>
      </x:c>
      <x:c r="H130" s="1" t="str">
        <x:v>2023-09-01_02-279136.pdf</x:v>
      </x:c>
      <x:c r="I130" s="1" t="str"/>
    </x:row>
    <x:row r="131">
      <x:c r="A131" s="20" t="n">
        <x:v>45200</x:v>
      </x:c>
      <x:c r="B131" s="1" t="str">
        <x:v>Bolån</x:v>
      </x:c>
      <x:c r="C131" s="1" t="str">
        <x:v>Stadshypotek AB</x:v>
      </x:c>
      <x:c r="D131" s="30" t="str">
        <x:v>02-279136</x:v>
      </x:c>
      <x:c r="E131" s="21" t="n">
        <x:v>3497</x:v>
      </x:c>
      <x:c r="F131" s="31" t="n">
        <x:f>SUMIF('Lånedetaljer'!$O$6:$O$434,H131,'Lånedetaljer'!$N$6:$N$434)</x:f>
        <x:v>3497</x:v>
      </x:c>
      <x:c r="G131" s="21" t="n">
        <x:f>E131-F131</x:f>
        <x:v>0</x:v>
      </x:c>
      <x:c r="H131" s="1" t="str">
        <x:v>2023-10-01_02-279136.pdf</x:v>
      </x:c>
      <x:c r="I131" s="1" t="str"/>
    </x:row>
    <x:row r="132">
      <x:c r="A132" s="20" t="n">
        <x:v>45231</x:v>
      </x:c>
      <x:c r="B132" s="1" t="str">
        <x:v>Bolån</x:v>
      </x:c>
      <x:c r="C132" s="1" t="str">
        <x:v>Stadshypotek AB</x:v>
      </x:c>
      <x:c r="D132" s="30" t="str">
        <x:v>02-279136</x:v>
      </x:c>
      <x:c r="E132" s="21" t="n">
        <x:v>3581</x:v>
      </x:c>
      <x:c r="F132" s="31" t="n">
        <x:f>SUMIF('Lånedetaljer'!$O$6:$O$434,H132,'Lånedetaljer'!$N$6:$N$434)</x:f>
        <x:v>3581</x:v>
      </x:c>
      <x:c r="G132" s="21" t="n">
        <x:f>E132-F132</x:f>
        <x:v>0</x:v>
      </x:c>
      <x:c r="H132" s="1" t="str">
        <x:v>2023-11-01_02-279136.pdf</x:v>
      </x:c>
      <x:c r="I132" s="1" t="str"/>
    </x:row>
    <x:row r="133">
      <x:c r="A133" s="20" t="n">
        <x:v>45261</x:v>
      </x:c>
      <x:c r="B133" s="1" t="str">
        <x:v>Bolån</x:v>
      </x:c>
      <x:c r="C133" s="1" t="str">
        <x:v>Stadshypotek AB</x:v>
      </x:c>
      <x:c r="D133" s="30" t="str">
        <x:v>02-279136</x:v>
      </x:c>
      <x:c r="E133" s="21" t="n">
        <x:v>3581</x:v>
      </x:c>
      <x:c r="F133" s="31" t="n">
        <x:f>SUMIF('Lånedetaljer'!$O$6:$O$434,H133,'Lånedetaljer'!$N$6:$N$434)</x:f>
        <x:v>3581</x:v>
      </x:c>
      <x:c r="G133" s="21" t="n">
        <x:f>E133-F133</x:f>
        <x:v>0</x:v>
      </x:c>
      <x:c r="H133" s="1" t="str">
        <x:v>2023-12-01_02-279136.pdf</x:v>
      </x:c>
      <x:c r="I133" s="1" t="str"/>
    </x:row>
    <x:row r="134">
      <x:c r="A134" s="20" t="n">
        <x:v>45292</x:v>
      </x:c>
      <x:c r="B134" s="1" t="str">
        <x:v>Bolån</x:v>
      </x:c>
      <x:c r="C134" s="1" t="str">
        <x:v>Stadshypotek AB</x:v>
      </x:c>
      <x:c r="D134" s="30" t="str">
        <x:v>02-279136</x:v>
      </x:c>
      <x:c r="E134" s="21" t="n">
        <x:v>3654</x:v>
      </x:c>
      <x:c r="F134" s="31" t="n">
        <x:f>SUMIF('Lånedetaljer'!$O$6:$O$434,H134,'Lånedetaljer'!$N$6:$N$434)</x:f>
        <x:v>3654</x:v>
      </x:c>
      <x:c r="G134" s="21" t="n">
        <x:f>E134-F134</x:f>
        <x:v>0</x:v>
      </x:c>
      <x:c r="H134" s="1" t="str">
        <x:v>2024-01-01_02-279136.pdf</x:v>
      </x:c>
      <x:c r="I134" s="1" t="str"/>
    </x:row>
    <x:row r="135">
      <x:c r="A135" s="20" t="n">
        <x:v>45323</x:v>
      </x:c>
      <x:c r="B135" s="1" t="str">
        <x:v>Bolån</x:v>
      </x:c>
      <x:c r="C135" s="1" t="str">
        <x:v>Stadshypotek AB</x:v>
      </x:c>
      <x:c r="D135" s="30" t="str">
        <x:v>02-279136</x:v>
      </x:c>
      <x:c r="E135" s="21" t="n">
        <x:v>3737</x:v>
      </x:c>
      <x:c r="F135" s="31" t="n">
        <x:f>SUMIF('Lånedetaljer'!$O$6:$O$434,H135,'Lånedetaljer'!$N$6:$N$434)</x:f>
        <x:v>3737</x:v>
      </x:c>
      <x:c r="G135" s="21" t="n">
        <x:f>E135-F135</x:f>
        <x:v>0</x:v>
      </x:c>
      <x:c r="H135" s="1" t="str">
        <x:v>2024-02-01_02-279136.pdf</x:v>
      </x:c>
      <x:c r="I135" s="1" t="str"/>
    </x:row>
    <x:row r="136">
      <x:c r="A136" s="20" t="n">
        <x:v>45352</x:v>
      </x:c>
      <x:c r="B136" s="1" t="str">
        <x:v>Bolån</x:v>
      </x:c>
      <x:c r="C136" s="1" t="str">
        <x:v>Stadshypotek AB</x:v>
      </x:c>
      <x:c r="D136" s="30" t="str">
        <x:v>02-279136</x:v>
      </x:c>
      <x:c r="E136" s="21" t="n">
        <x:v>3737</x:v>
      </x:c>
      <x:c r="F136" s="31" t="n">
        <x:f>SUMIF('Lånedetaljer'!$O$6:$O$434,H136,'Lånedetaljer'!$N$6:$N$434)</x:f>
        <x:v>3737</x:v>
      </x:c>
      <x:c r="G136" s="21" t="n">
        <x:f>E136-F136</x:f>
        <x:v>0</x:v>
      </x:c>
      <x:c r="H136" s="1" t="str">
        <x:v>2024-03-01_02-279136.pdf</x:v>
      </x:c>
      <x:c r="I136" s="1" t="str"/>
    </x:row>
    <x:row r="137">
      <x:c r="A137" s="20" t="n">
        <x:v>45383</x:v>
      </x:c>
      <x:c r="B137" s="1" t="str">
        <x:v>Bolån</x:v>
      </x:c>
      <x:c r="C137" s="1" t="str">
        <x:v>Stadshypotek AB</x:v>
      </x:c>
      <x:c r="D137" s="30" t="str">
        <x:v>02-279136</x:v>
      </x:c>
      <x:c r="E137" s="21" t="n">
        <x:v>3737</x:v>
      </x:c>
      <x:c r="F137" s="31" t="n">
        <x:f>SUMIF('Lånedetaljer'!$O$6:$O$434,H137,'Lånedetaljer'!$N$6:$N$434)</x:f>
        <x:v>3737</x:v>
      </x:c>
      <x:c r="G137" s="21" t="n">
        <x:f>E137-F137</x:f>
        <x:v>0</x:v>
      </x:c>
      <x:c r="H137" s="1" t="str">
        <x:v>2024-04-01_02-279136.pdf</x:v>
      </x:c>
      <x:c r="I137" s="1" t="str"/>
    </x:row>
    <x:row r="138">
      <x:c r="A138" s="20" t="n">
        <x:v>45413</x:v>
      </x:c>
      <x:c r="B138" s="1" t="str">
        <x:v>Bolån</x:v>
      </x:c>
      <x:c r="C138" s="1" t="str">
        <x:v>Stadshypotek AB</x:v>
      </x:c>
      <x:c r="D138" s="30" t="str">
        <x:v>02-279136</x:v>
      </x:c>
      <x:c r="E138" s="21" t="n">
        <x:v>3737</x:v>
      </x:c>
      <x:c r="F138" s="31" t="n">
        <x:f>SUMIF('Lånedetaljer'!$O$6:$O$434,H138,'Lånedetaljer'!$N$6:$N$434)</x:f>
        <x:v>3737</x:v>
      </x:c>
      <x:c r="G138" s="21" t="n">
        <x:f>E138-F138</x:f>
        <x:v>0</x:v>
      </x:c>
      <x:c r="H138" s="1" t="str">
        <x:v>2024-05-01_02-279136.pdf</x:v>
      </x:c>
      <x:c r="I138" s="1" t="str"/>
    </x:row>
    <x:row r="139">
      <x:c r="A139" s="20" t="n">
        <x:v>45444</x:v>
      </x:c>
      <x:c r="B139" s="1" t="str">
        <x:v>Bolån</x:v>
      </x:c>
      <x:c r="C139" s="1" t="str">
        <x:v>Stadshypotek AB</x:v>
      </x:c>
      <x:c r="D139" s="30" t="str">
        <x:v>02-279136</x:v>
      </x:c>
      <x:c r="E139" s="21" t="n">
        <x:v>3737</x:v>
      </x:c>
      <x:c r="F139" s="31" t="n">
        <x:f>SUMIF('Lånedetaljer'!$O$6:$O$434,H139,'Lånedetaljer'!$N$6:$N$434)</x:f>
        <x:v>3737</x:v>
      </x:c>
      <x:c r="G139" s="21" t="n">
        <x:f>E139-F139</x:f>
        <x:v>0</x:v>
      </x:c>
      <x:c r="H139" s="1" t="str">
        <x:v>2024-06-01_02-279136.pdf</x:v>
      </x:c>
      <x:c r="I139" s="1" t="str"/>
    </x:row>
    <x:row r="140">
      <x:c r="A140" s="20" t="n">
        <x:v>45474</x:v>
      </x:c>
      <x:c r="B140" s="1" t="str">
        <x:v>Bolån</x:v>
      </x:c>
      <x:c r="C140" s="1" t="str">
        <x:v>Stadshypotek AB</x:v>
      </x:c>
      <x:c r="D140" s="30" t="str">
        <x:v>02-279136</x:v>
      </x:c>
      <x:c r="E140" s="21" t="n">
        <x:v>3664</x:v>
      </x:c>
      <x:c r="F140" s="31" t="n">
        <x:f>SUMIF('Lånedetaljer'!$O$6:$O$434,H140,'Lånedetaljer'!$N$6:$N$434)</x:f>
        <x:v>3664</x:v>
      </x:c>
      <x:c r="G140" s="21" t="n">
        <x:f>E140-F140</x:f>
        <x:v>0</x:v>
      </x:c>
      <x:c r="H140" s="1" t="str">
        <x:v>2024-07-01_02-279136.pdf</x:v>
      </x:c>
      <x:c r="I140" s="1" t="str"/>
    </x:row>
    <x:row r="141">
      <x:c r="A141" s="20" t="n">
        <x:v>45505</x:v>
      </x:c>
      <x:c r="B141" s="1" t="str">
        <x:v>Bolån</x:v>
      </x:c>
      <x:c r="C141" s="1" t="str">
        <x:v>Stadshypotek AB</x:v>
      </x:c>
      <x:c r="D141" s="30" t="str">
        <x:v>02-279136</x:v>
      </x:c>
      <x:c r="E141" s="21" t="n">
        <x:v>3581</x:v>
      </x:c>
      <x:c r="F141" s="31" t="n">
        <x:f>SUMIF('Lånedetaljer'!$O$6:$O$434,H141,'Lånedetaljer'!$N$6:$N$434)</x:f>
        <x:v>3581</x:v>
      </x:c>
      <x:c r="G141" s="21" t="n">
        <x:f>E141-F141</x:f>
        <x:v>0</x:v>
      </x:c>
      <x:c r="H141" s="1" t="str">
        <x:v>2024-08-01_02-279136.pdf</x:v>
      </x:c>
      <x:c r="I141" s="1" t="str"/>
    </x:row>
    <x:row r="142">
      <x:c r="A142" s="20" t="n">
        <x:v>45536</x:v>
      </x:c>
      <x:c r="B142" s="1" t="str">
        <x:v>Bolån</x:v>
      </x:c>
      <x:c r="C142" s="1" t="str">
        <x:v>Stadshypotek AB</x:v>
      </x:c>
      <x:c r="D142" s="30" t="str">
        <x:v>02-279136</x:v>
      </x:c>
      <x:c r="E142" s="21" t="n">
        <x:v>3581</x:v>
      </x:c>
      <x:c r="F142" s="31" t="n">
        <x:f>SUMIF('Lånedetaljer'!$O$6:$O$434,H142,'Lånedetaljer'!$N$6:$N$434)</x:f>
        <x:v>3581</x:v>
      </x:c>
      <x:c r="G142" s="21" t="n">
        <x:f>E142-F142</x:f>
        <x:v>0</x:v>
      </x:c>
      <x:c r="H142" s="1" t="str">
        <x:v>2024-09-01_02-279136.pdf</x:v>
      </x:c>
      <x:c r="I142" s="1" t="str"/>
    </x:row>
    <x:row r="143">
      <x:c r="A143" s="20" t="n">
        <x:v>45566</x:v>
      </x:c>
      <x:c r="B143" s="1" t="str">
        <x:v>Bolån</x:v>
      </x:c>
      <x:c r="C143" s="1" t="str">
        <x:v>Stadshypotek AB</x:v>
      </x:c>
      <x:c r="D143" s="30" t="str">
        <x:v>02-279136</x:v>
      </x:c>
      <x:c r="E143" s="21" t="n">
        <x:v>3521</x:v>
      </x:c>
      <x:c r="F143" s="31" t="n">
        <x:f>SUMIF('Lånedetaljer'!$O$6:$O$434,H143,'Lånedetaljer'!$N$6:$N$434)</x:f>
        <x:v>3521</x:v>
      </x:c>
      <x:c r="G143" s="21" t="n">
        <x:f>E143-F143</x:f>
        <x:v>0</x:v>
      </x:c>
      <x:c r="H143" s="1" t="str">
        <x:v>2024-10-01_02-279136.pdf</x:v>
      </x:c>
      <x:c r="I143" s="1" t="str"/>
    </x:row>
    <x:row r="144">
      <x:c r="A144" s="20" t="n">
        <x:v>45597</x:v>
      </x:c>
      <x:c r="B144" s="1" t="str">
        <x:v>Bolån</x:v>
      </x:c>
      <x:c r="C144" s="1" t="str">
        <x:v>Stadshypotek AB</x:v>
      </x:c>
      <x:c r="D144" s="30" t="str">
        <x:v>02-279136</x:v>
      </x:c>
      <x:c r="E144" s="21" t="n">
        <x:v>3387</x:v>
      </x:c>
      <x:c r="F144" s="31" t="n">
        <x:f>SUMIF('Lånedetaljer'!$O$6:$O$434,H144,'Lånedetaljer'!$N$6:$N$434)</x:f>
        <x:v>3387</x:v>
      </x:c>
      <x:c r="G144" s="21" t="n">
        <x:f>E144-F144</x:f>
        <x:v>0</x:v>
      </x:c>
      <x:c r="H144" s="1" t="str">
        <x:v>2024-11-01_02-279136.pdf</x:v>
      </x:c>
      <x:c r="I144" s="1" t="str"/>
    </x:row>
    <x:row r="145">
      <x:c r="A145" s="20" t="n">
        <x:v>45627</x:v>
      </x:c>
      <x:c r="B145" s="1" t="str">
        <x:v>Bolån</x:v>
      </x:c>
      <x:c r="C145" s="1" t="str">
        <x:v>Stadshypotek AB</x:v>
      </x:c>
      <x:c r="D145" s="30" t="str">
        <x:v>02-279136</x:v>
      </x:c>
      <x:c r="E145" s="21" t="n">
        <x:v>3387</x:v>
      </x:c>
      <x:c r="F145" s="31" t="n">
        <x:f>SUMIF('Lånedetaljer'!$O$6:$O$434,H145,'Lånedetaljer'!$N$6:$N$434)</x:f>
        <x:v>3387</x:v>
      </x:c>
      <x:c r="G145" s="21" t="n">
        <x:f>E145-F145</x:f>
        <x:v>0</x:v>
      </x:c>
      <x:c r="H145" s="1" t="str">
        <x:v>2024-12-01_02-279136.pdf</x:v>
      </x:c>
      <x:c r="I145" s="1" t="str"/>
    </x:row>
    <x:row r="146">
      <x:c r="A146" s="20" t="n">
        <x:v>45658</x:v>
      </x:c>
      <x:c r="B146" s="1" t="str">
        <x:v>Bolån</x:v>
      </x:c>
      <x:c r="C146" s="1" t="str">
        <x:v>Stadshypotek AB</x:v>
      </x:c>
      <x:c r="D146" s="30" t="str">
        <x:v>02-279136</x:v>
      </x:c>
      <x:c r="E146" s="21" t="n">
        <x:v>3181</x:v>
      </x:c>
      <x:c r="F146" s="31" t="n">
        <x:f>SUMIF('Lånedetaljer'!$O$6:$O$434,H146,'Lånedetaljer'!$N$6:$N$434)</x:f>
        <x:v>3181</x:v>
      </x:c>
      <x:c r="G146" s="21" t="n">
        <x:f>E146-F146</x:f>
        <x:v>0</x:v>
      </x:c>
      <x:c r="H146" s="1" t="str">
        <x:v>2025-01-01_02-279136.pdf</x:v>
      </x:c>
      <x:c r="I146" s="1" t="str"/>
    </x:row>
    <x:row r="147">
      <x:c r="A147" s="20" t="n">
        <x:v>45689</x:v>
      </x:c>
      <x:c r="B147" s="1" t="str">
        <x:v>Bolån</x:v>
      </x:c>
      <x:c r="C147" s="1" t="str">
        <x:v>Stadshypotek AB</x:v>
      </x:c>
      <x:c r="D147" s="30" t="str">
        <x:v>02-279136</x:v>
      </x:c>
      <x:c r="E147" s="21" t="n">
        <x:v>2931</x:v>
      </x:c>
      <x:c r="F147" s="31" t="n">
        <x:f>SUMIF('Lånedetaljer'!$O$6:$O$434,H147,'Lånedetaljer'!$N$6:$N$434)</x:f>
        <x:v>2931</x:v>
      </x:c>
      <x:c r="G147" s="21" t="n">
        <x:f>E147-F147</x:f>
        <x:v>0</x:v>
      </x:c>
      <x:c r="H147" s="1" t="str">
        <x:v>2025-02-01_02-279136.pdf</x:v>
      </x:c>
      <x:c r="I147" s="1" t="str"/>
    </x:row>
    <x:row r="148">
      <x:c r="A148" s="20" t="n">
        <x:v>45717</x:v>
      </x:c>
      <x:c r="B148" s="1" t="str">
        <x:v>Bolån</x:v>
      </x:c>
      <x:c r="C148" s="1" t="str">
        <x:v>Stadshypotek AB</x:v>
      </x:c>
      <x:c r="D148" s="30" t="str">
        <x:v>02-279136</x:v>
      </x:c>
      <x:c r="E148" s="21" t="n">
        <x:v>2931</x:v>
      </x:c>
      <x:c r="F148" s="31" t="n">
        <x:f>SUMIF('Lånedetaljer'!$O$6:$O$434,H148,'Lånedetaljer'!$N$6:$N$434)</x:f>
        <x:v>2931</x:v>
      </x:c>
      <x:c r="G148" s="21" t="n">
        <x:f>E148-F148</x:f>
        <x:v>0</x:v>
      </x:c>
      <x:c r="H148" s="1" t="str">
        <x:v>2025-03-01_02-279136.pdf</x:v>
      </x:c>
      <x:c r="I148" s="1" t="str"/>
    </x:row>
    <x:row r="149">
      <x:c r="A149" s="20" t="n">
        <x:v>45742</x:v>
      </x:c>
      <x:c r="B149" s="1" t="str">
        <x:v>Delbetalning</x:v>
      </x:c>
      <x:c r="C149" s="1" t="str">
        <x:v>Hi3G Access AB (Tre)</x:v>
      </x:c>
      <x:c r="D149" s="30" t="str">
        <x:v>Faktura 526718684628</x:v>
      </x:c>
      <x:c r="E149" s="21" t="n">
        <x:v>200</x:v>
      </x:c>
      <x:c r="F149" s="31" t="n">
        <x:f>SUMIF('Lånedetaljer'!$O$6:$O$434,H149,'Lånedetaljer'!$N$6:$N$434)</x:f>
        <x:v>200</x:v>
      </x:c>
      <x:c r="G149" s="21" t="n">
        <x:f>E149-F149</x:f>
        <x:v>0</x:v>
      </x:c>
      <x:c r="H149" s="1" t="str">
        <x:v>3_faktura-526718684628.pdf</x:v>
      </x:c>
      <x:c r="I149" s="1" t="str">
        <x:v>Endast delbetalningsdelen av telefonfakturan ingår.</x:v>
      </x:c>
    </x:row>
    <x:row r="150">
      <x:c r="A150" s="20" t="n">
        <x:v>45957</x:v>
      </x:c>
      <x:c r="B150" s="1" t="str">
        <x:v>Delbetalning</x:v>
      </x:c>
      <x:c r="C150" s="1" t="str">
        <x:v>Hi3G Access AB (Tre)</x:v>
      </x:c>
      <x:c r="D150" s="30" t="str">
        <x:v>Faktura 527417754324</x:v>
      </x:c>
      <x:c r="E150" s="21" t="n">
        <x:v>200</x:v>
      </x:c>
      <x:c r="F150" s="31" t="n">
        <x:f>SUMIF('Lånedetaljer'!$O$6:$O$434,H150,'Lånedetaljer'!$N$6:$N$434)</x:f>
        <x:v>200</x:v>
      </x:c>
      <x:c r="G150" s="21" t="n">
        <x:f>E150-F150</x:f>
        <x:v>0</x:v>
      </x:c>
      <x:c r="H150" s="1" t="str">
        <x:v>3_faktura-527417754324.pdf</x:v>
      </x:c>
      <x:c r="I150" s="1" t="str">
        <x:v>Endast delbetalningsdelen av telefonfakturan ingår.</x:v>
      </x:c>
    </x:row>
    <x:row r="151">
      <x:c r="A151" s="36" t="str">
        <x:v>Totalt</x:v>
      </x:c>
      <x:c r="B151" s="36"/>
      <x:c r="C151" s="36"/>
      <x:c r="D151" s="36"/>
      <x:c r="E151" s="37" t="n">
        <x:f>SUM(E6:E150)</x:f>
        <x:v>193326</x:v>
      </x:c>
      <x:c r="F151" s="37" t="n">
        <x:f>SUM(F6:F150)</x:f>
        <x:v>193326</x:v>
      </x:c>
      <x:c r="G151" s="37" t="n">
        <x:f>SUM(G6:G150)</x:f>
        <x:v>0</x:v>
      </x:c>
      <x:c r="H151" s="36"/>
      <x:c r="I151" s="36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</x:row>
  </x:sheetData>
  <x:conditionalFormatting sqref="G6:G150">
    <x:cfRule type="cellIs" dxfId="0" priority="1" operator="not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634dce1a04f4a1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0" hidden="0" customWidth="1"/>
    <x:col min="2" max="2" width="32" hidden="0" customWidth="1"/>
    <x:col min="3" max="3" width="11" hidden="0" customWidth="1"/>
    <x:col min="4" max="4" width="48" hidden="0" customWidth="1"/>
    <x:col min="5" max="5" width="10" hidden="0" customWidth="1"/>
    <x:col min="6" max="6" width="15" hidden="0" customWidth="1"/>
  </x:cols>
  <x:sheetData>
    <x:row r="1">
      <x:c r="A1" s="1"/>
      <x:c r="B1" s="1"/>
      <x:c r="C1" s="1"/>
      <x:c r="D1" s="38"/>
      <x:c r="E1" s="1"/>
      <x:c r="F1" s="1"/>
    </x:row>
    <x:row r="2">
      <x:c r="A2" s="3" t="str">
        <x:v>Källor</x:v>
      </x:c>
      <x:c r="B2" s="4"/>
      <x:c r="C2" s="4"/>
      <x:c r="D2" s="4"/>
      <x:c r="E2" s="4"/>
      <x:c r="F2" s="4"/>
    </x:row>
    <x:row r="3">
      <x:c r="A3" s="5" t="str">
        <x:v>Samtliga 149 PDF-filer i källmappen. Filnamn fungerar som källhänvisning i arbetsboken.</x:v>
      </x:c>
      <x:c r="B3" s="5"/>
      <x:c r="C3" s="5"/>
      <x:c r="D3" s="5"/>
      <x:c r="E3" s="5"/>
      <x:c r="F3" s="5"/>
    </x:row>
    <x:row r="4">
      <x:c r="A4" s="1"/>
      <x:c r="B4" s="1"/>
      <x:c r="C4" s="1"/>
      <x:c r="D4" s="1"/>
      <x:c r="E4" s="1"/>
      <x:c r="F4" s="1"/>
    </x:row>
    <x:row r="5" ht="30" customHeight="1">
      <x:c r="A5" s="17" t="str">
        <x:v>Källfil</x:v>
      </x:c>
      <x:c r="B5" s="18" t="str">
        <x:v>Klassificering</x:v>
      </x:c>
      <x:c r="C5" s="18" t="str">
        <x:v>Ingår</x:v>
      </x:c>
      <x:c r="D5" s="18" t="str">
        <x:v>Skäl</x:v>
      </x:c>
      <x:c r="E5" s="18" t="str">
        <x:v>Sidor</x:v>
      </x:c>
      <x:c r="F5" s="19" t="str">
        <x:v>Storlek (KB)</x:v>
      </x:c>
    </x:row>
    <x:row r="6">
      <x:c r="A6" s="1" t="str">
        <x:v>2016-04-30_02-438379.pdf</x:v>
      </x:c>
      <x:c r="B6" s="1" t="str">
        <x:v>Bolåneavi</x:v>
      </x:c>
      <x:c r="C6" s="1" t="str">
        <x:v>Ja</x:v>
      </x:c>
      <x:c r="D6" s="1" t="str">
        <x:v>Bolån och aviserad ränta ingår.</x:v>
      </x:c>
      <x:c r="E6" s="23" t="n">
        <x:v>1</x:v>
      </x:c>
      <x:c r="F6" s="39" t="n">
        <x:v>8.125</x:v>
      </x:c>
    </x:row>
    <x:row r="7">
      <x:c r="A7" s="1" t="str">
        <x:v>2016-05-01_02-279136.pdf</x:v>
      </x:c>
      <x:c r="B7" s="1" t="str">
        <x:v>Bolåneavi</x:v>
      </x:c>
      <x:c r="C7" s="1" t="str">
        <x:v>Ja</x:v>
      </x:c>
      <x:c r="D7" s="1" t="str">
        <x:v>Bolån och aviserad ränta ingår.</x:v>
      </x:c>
      <x:c r="E7" s="23" t="n">
        <x:v>2</x:v>
      </x:c>
      <x:c r="F7" s="39" t="n">
        <x:v>10.501953125</x:v>
      </x:c>
    </x:row>
    <x:row r="8">
      <x:c r="A8" s="1" t="str">
        <x:v>2016-05-30_02-438379.pdf</x:v>
      </x:c>
      <x:c r="B8" s="1" t="str">
        <x:v>Bolåneavi</x:v>
      </x:c>
      <x:c r="C8" s="1" t="str">
        <x:v>Ja</x:v>
      </x:c>
      <x:c r="D8" s="1" t="str">
        <x:v>Bolån och aviserad ränta ingår.</x:v>
      </x:c>
      <x:c r="E8" s="23" t="n">
        <x:v>1</x:v>
      </x:c>
      <x:c r="F8" s="39" t="n">
        <x:v>8.1220703125</x:v>
      </x:c>
    </x:row>
    <x:row r="9">
      <x:c r="A9" s="1" t="str">
        <x:v>2016-06-01_02-279136.pdf</x:v>
      </x:c>
      <x:c r="B9" s="1" t="str">
        <x:v>Bolåneavi</x:v>
      </x:c>
      <x:c r="C9" s="1" t="str">
        <x:v>Ja</x:v>
      </x:c>
      <x:c r="D9" s="1" t="str">
        <x:v>Bolån och aviserad ränta ingår.</x:v>
      </x:c>
      <x:c r="E9" s="23" t="n">
        <x:v>2</x:v>
      </x:c>
      <x:c r="F9" s="39" t="n">
        <x:v>10.4951171875</x:v>
      </x:c>
    </x:row>
    <x:row r="10">
      <x:c r="A10" s="1" t="str">
        <x:v>2016-06-30_02-438379.pdf</x:v>
      </x:c>
      <x:c r="B10" s="1" t="str">
        <x:v>Bolåneavi</x:v>
      </x:c>
      <x:c r="C10" s="1" t="str">
        <x:v>Ja</x:v>
      </x:c>
      <x:c r="D10" s="1" t="str">
        <x:v>Bolån och aviserad ränta ingår.</x:v>
      </x:c>
      <x:c r="E10" s="23" t="n">
        <x:v>1</x:v>
      </x:c>
      <x:c r="F10" s="39" t="n">
        <x:v>8.123046875</x:v>
      </x:c>
    </x:row>
    <x:row r="11">
      <x:c r="A11" s="1" t="str">
        <x:v>2016-07-01_02-279136.pdf</x:v>
      </x:c>
      <x:c r="B11" s="1" t="str">
        <x:v>Bolåneavi</x:v>
      </x:c>
      <x:c r="C11" s="1" t="str">
        <x:v>Ja</x:v>
      </x:c>
      <x:c r="D11" s="1" t="str">
        <x:v>Bolån och aviserad ränta ingår.</x:v>
      </x:c>
      <x:c r="E11" s="23" t="n">
        <x:v>2</x:v>
      </x:c>
      <x:c r="F11" s="39" t="n">
        <x:v>10.5</x:v>
      </x:c>
    </x:row>
    <x:row r="12">
      <x:c r="A12" s="1" t="str">
        <x:v>2016-07-30_02-438379.pdf</x:v>
      </x:c>
      <x:c r="B12" s="1" t="str">
        <x:v>Bolåneavi</x:v>
      </x:c>
      <x:c r="C12" s="1" t="str">
        <x:v>Ja</x:v>
      </x:c>
      <x:c r="D12" s="1" t="str">
        <x:v>Bolån och aviserad ränta ingår.</x:v>
      </x:c>
      <x:c r="E12" s="23" t="n">
        <x:v>1</x:v>
      </x:c>
      <x:c r="F12" s="39" t="n">
        <x:v>8.1220703125</x:v>
      </x:c>
    </x:row>
    <x:row r="13">
      <x:c r="A13" s="1" t="str">
        <x:v>2016-08-01_02-279136.pdf</x:v>
      </x:c>
      <x:c r="B13" s="1" t="str">
        <x:v>Bolåneavi</x:v>
      </x:c>
      <x:c r="C13" s="1" t="str">
        <x:v>Ja</x:v>
      </x:c>
      <x:c r="D13" s="1" t="str">
        <x:v>Bolån och aviserad ränta ingår.</x:v>
      </x:c>
      <x:c r="E13" s="23" t="n">
        <x:v>2</x:v>
      </x:c>
      <x:c r="F13" s="39" t="n">
        <x:v>10.50390625</x:v>
      </x:c>
    </x:row>
    <x:row r="14">
      <x:c r="A14" s="1" t="str">
        <x:v>2016-08-30_02-438379.pdf</x:v>
      </x:c>
      <x:c r="B14" s="1" t="str">
        <x:v>Bolåneavi</x:v>
      </x:c>
      <x:c r="C14" s="1" t="str">
        <x:v>Ja</x:v>
      </x:c>
      <x:c r="D14" s="1" t="str">
        <x:v>Bolån och aviserad ränta ingår.</x:v>
      </x:c>
      <x:c r="E14" s="23" t="n">
        <x:v>1</x:v>
      </x:c>
      <x:c r="F14" s="39" t="n">
        <x:v>8.1259765625</x:v>
      </x:c>
    </x:row>
    <x:row r="15">
      <x:c r="A15" s="1" t="str">
        <x:v>2016-09-01_02-279136.pdf</x:v>
      </x:c>
      <x:c r="B15" s="1" t="str">
        <x:v>Bolåneavi</x:v>
      </x:c>
      <x:c r="C15" s="1" t="str">
        <x:v>Ja</x:v>
      </x:c>
      <x:c r="D15" s="1" t="str">
        <x:v>Bolån och aviserad ränta ingår.</x:v>
      </x:c>
      <x:c r="E15" s="23" t="n">
        <x:v>2</x:v>
      </x:c>
      <x:c r="F15" s="39" t="n">
        <x:v>10.4990234375</x:v>
      </x:c>
    </x:row>
    <x:row r="16">
      <x:c r="A16" s="1" t="str">
        <x:v>2016-09-30_02-438379.pdf</x:v>
      </x:c>
      <x:c r="B16" s="1" t="str">
        <x:v>Bolåneavi</x:v>
      </x:c>
      <x:c r="C16" s="1" t="str">
        <x:v>Ja</x:v>
      </x:c>
      <x:c r="D16" s="1" t="str">
        <x:v>Bolån och aviserad ränta ingår.</x:v>
      </x:c>
      <x:c r="E16" s="23" t="n">
        <x:v>1</x:v>
      </x:c>
      <x:c r="F16" s="39" t="n">
        <x:v>8.1240234375</x:v>
      </x:c>
    </x:row>
    <x:row r="17">
      <x:c r="A17" s="1" t="str">
        <x:v>2016-10-01_02-279136.pdf</x:v>
      </x:c>
      <x:c r="B17" s="1" t="str">
        <x:v>Bolåneavi</x:v>
      </x:c>
      <x:c r="C17" s="1" t="str">
        <x:v>Ja</x:v>
      </x:c>
      <x:c r="D17" s="1" t="str">
        <x:v>Bolån och aviserad ränta ingår.</x:v>
      </x:c>
      <x:c r="E17" s="23" t="n">
        <x:v>2</x:v>
      </x:c>
      <x:c r="F17" s="39" t="n">
        <x:v>10.5048828125</x:v>
      </x:c>
    </x:row>
    <x:row r="18">
      <x:c r="A18" s="1" t="str">
        <x:v>2016-10-30_02-438379.pdf</x:v>
      </x:c>
      <x:c r="B18" s="1" t="str">
        <x:v>Bolåneavi</x:v>
      </x:c>
      <x:c r="C18" s="1" t="str">
        <x:v>Ja</x:v>
      </x:c>
      <x:c r="D18" s="1" t="str">
        <x:v>Bolån och aviserad ränta ingår.</x:v>
      </x:c>
      <x:c r="E18" s="23" t="n">
        <x:v>1</x:v>
      </x:c>
      <x:c r="F18" s="39" t="n">
        <x:v>8.1259765625</x:v>
      </x:c>
    </x:row>
    <x:row r="19">
      <x:c r="A19" s="1" t="str">
        <x:v>2016-11-01_02-279136.pdf</x:v>
      </x:c>
      <x:c r="B19" s="1" t="str">
        <x:v>Bolåneavi</x:v>
      </x:c>
      <x:c r="C19" s="1" t="str">
        <x:v>Ja</x:v>
      </x:c>
      <x:c r="D19" s="1" t="str">
        <x:v>Bolån och aviserad ränta ingår.</x:v>
      </x:c>
      <x:c r="E19" s="23" t="n">
        <x:v>2</x:v>
      </x:c>
      <x:c r="F19" s="39" t="n">
        <x:v>10.5009765625</x:v>
      </x:c>
    </x:row>
    <x:row r="20">
      <x:c r="A20" s="1" t="str">
        <x:v>2016-11-30_02-438379.pdf</x:v>
      </x:c>
      <x:c r="B20" s="1" t="str">
        <x:v>Bolåneavi</x:v>
      </x:c>
      <x:c r="C20" s="1" t="str">
        <x:v>Ja</x:v>
      </x:c>
      <x:c r="D20" s="1" t="str">
        <x:v>Bolån och aviserad ränta ingår.</x:v>
      </x:c>
      <x:c r="E20" s="23" t="n">
        <x:v>1</x:v>
      </x:c>
      <x:c r="F20" s="39" t="n">
        <x:v>8.125</x:v>
      </x:c>
    </x:row>
    <x:row r="21">
      <x:c r="A21" s="1" t="str">
        <x:v>2016-12-01_02-279136.pdf</x:v>
      </x:c>
      <x:c r="B21" s="1" t="str">
        <x:v>Bolåneavi</x:v>
      </x:c>
      <x:c r="C21" s="1" t="str">
        <x:v>Ja</x:v>
      </x:c>
      <x:c r="D21" s="1" t="str">
        <x:v>Bolån och aviserad ränta ingår.</x:v>
      </x:c>
      <x:c r="E21" s="23" t="n">
        <x:v>2</x:v>
      </x:c>
      <x:c r="F21" s="39" t="n">
        <x:v>10.5</x:v>
      </x:c>
    </x:row>
    <x:row r="22">
      <x:c r="A22" s="1" t="str">
        <x:v>2016-12-30_02-438379.pdf</x:v>
      </x:c>
      <x:c r="B22" s="1" t="str">
        <x:v>Bolåneavi</x:v>
      </x:c>
      <x:c r="C22" s="1" t="str">
        <x:v>Ja</x:v>
      </x:c>
      <x:c r="D22" s="1" t="str">
        <x:v>Bolån och aviserad ränta ingår.</x:v>
      </x:c>
      <x:c r="E22" s="23" t="n">
        <x:v>1</x:v>
      </x:c>
      <x:c r="F22" s="39" t="n">
        <x:v>8.3193359375</x:v>
      </x:c>
    </x:row>
    <x:row r="23">
      <x:c r="A23" s="1" t="str">
        <x:v>2017-01-01_02-279136.pdf</x:v>
      </x:c>
      <x:c r="B23" s="1" t="str">
        <x:v>Bolåneavi</x:v>
      </x:c>
      <x:c r="C23" s="1" t="str">
        <x:v>Ja</x:v>
      </x:c>
      <x:c r="D23" s="1" t="str">
        <x:v>Bolån och aviserad ränta ingår.</x:v>
      </x:c>
      <x:c r="E23" s="23" t="n">
        <x:v>2</x:v>
      </x:c>
      <x:c r="F23" s="39" t="n">
        <x:v>10.7021484375</x:v>
      </x:c>
    </x:row>
    <x:row r="24">
      <x:c r="A24" s="1" t="str">
        <x:v>2017-01-30_02-438379.pdf</x:v>
      </x:c>
      <x:c r="B24" s="1" t="str">
        <x:v>Bolåneavi</x:v>
      </x:c>
      <x:c r="C24" s="1" t="str">
        <x:v>Ja</x:v>
      </x:c>
      <x:c r="D24" s="1" t="str">
        <x:v>Bolån och aviserad ränta ingår.</x:v>
      </x:c>
      <x:c r="E24" s="23" t="n">
        <x:v>1</x:v>
      </x:c>
      <x:c r="F24" s="39" t="n">
        <x:v>8.3212890625</x:v>
      </x:c>
    </x:row>
    <x:row r="25">
      <x:c r="A25" s="1" t="str">
        <x:v>2017-02-01_02-279136.pdf</x:v>
      </x:c>
      <x:c r="B25" s="1" t="str">
        <x:v>Bolåneavi</x:v>
      </x:c>
      <x:c r="C25" s="1" t="str">
        <x:v>Ja</x:v>
      </x:c>
      <x:c r="D25" s="1" t="str">
        <x:v>Bolån och aviserad ränta ingår.</x:v>
      </x:c>
      <x:c r="E25" s="23" t="n">
        <x:v>2</x:v>
      </x:c>
      <x:c r="F25" s="39" t="n">
        <x:v>10.69921875</x:v>
      </x:c>
    </x:row>
    <x:row r="26">
      <x:c r="A26" s="1" t="str">
        <x:v>2017-02-28_02-438379.pdf</x:v>
      </x:c>
      <x:c r="B26" s="1" t="str">
        <x:v>Bolåneavi</x:v>
      </x:c>
      <x:c r="C26" s="1" t="str">
        <x:v>Ja</x:v>
      </x:c>
      <x:c r="D26" s="1" t="str">
        <x:v>Bolån och aviserad ränta ingår.</x:v>
      </x:c>
      <x:c r="E26" s="23" t="n">
        <x:v>1</x:v>
      </x:c>
      <x:c r="F26" s="39" t="n">
        <x:v>8.3173828125</x:v>
      </x:c>
    </x:row>
    <x:row r="27">
      <x:c r="A27" s="1" t="str">
        <x:v>2017-03-01_02-279136.pdf</x:v>
      </x:c>
      <x:c r="B27" s="1" t="str">
        <x:v>Bolåneavi</x:v>
      </x:c>
      <x:c r="C27" s="1" t="str">
        <x:v>Ja</x:v>
      </x:c>
      <x:c r="D27" s="1" t="str">
        <x:v>Bolån och aviserad ränta ingår.</x:v>
      </x:c>
      <x:c r="E27" s="23" t="n">
        <x:v>2</x:v>
      </x:c>
      <x:c r="F27" s="39" t="n">
        <x:v>10.6982421875</x:v>
      </x:c>
    </x:row>
    <x:row r="28">
      <x:c r="A28" s="1" t="str">
        <x:v>2017-03-30_02-438379.pdf</x:v>
      </x:c>
      <x:c r="B28" s="1" t="str">
        <x:v>Bolåneavi</x:v>
      </x:c>
      <x:c r="C28" s="1" t="str">
        <x:v>Ja</x:v>
      </x:c>
      <x:c r="D28" s="1" t="str">
        <x:v>Bolån och aviserad ränta ingår.</x:v>
      </x:c>
      <x:c r="E28" s="23" t="n">
        <x:v>1</x:v>
      </x:c>
      <x:c r="F28" s="39" t="n">
        <x:v>8.3232421875</x:v>
      </x:c>
    </x:row>
    <x:row r="29">
      <x:c r="A29" s="1" t="str">
        <x:v>2017-04-01_02-279136.pdf</x:v>
      </x:c>
      <x:c r="B29" s="1" t="str">
        <x:v>Bolåneavi</x:v>
      </x:c>
      <x:c r="C29" s="1" t="str">
        <x:v>Ja</x:v>
      </x:c>
      <x:c r="D29" s="1" t="str">
        <x:v>Bolån och aviserad ränta ingår.</x:v>
      </x:c>
      <x:c r="E29" s="23" t="n">
        <x:v>2</x:v>
      </x:c>
      <x:c r="F29" s="39" t="n">
        <x:v>10.69921875</x:v>
      </x:c>
    </x:row>
    <x:row r="30">
      <x:c r="A30" s="1" t="str">
        <x:v>2017-04-30_02-438379.pdf</x:v>
      </x:c>
      <x:c r="B30" s="1" t="str">
        <x:v>Bolåneavi</x:v>
      </x:c>
      <x:c r="C30" s="1" t="str">
        <x:v>Ja</x:v>
      </x:c>
      <x:c r="D30" s="1" t="str">
        <x:v>Bolån och aviserad ränta ingår.</x:v>
      </x:c>
      <x:c r="E30" s="23" t="n">
        <x:v>1</x:v>
      </x:c>
      <x:c r="F30" s="39" t="n">
        <x:v>8.322265625</x:v>
      </x:c>
    </x:row>
    <x:row r="31">
      <x:c r="A31" s="1" t="str">
        <x:v>2017-05-01_02-279136.pdf</x:v>
      </x:c>
      <x:c r="B31" s="1" t="str">
        <x:v>Bolåneavi</x:v>
      </x:c>
      <x:c r="C31" s="1" t="str">
        <x:v>Ja</x:v>
      </x:c>
      <x:c r="D31" s="1" t="str">
        <x:v>Bolån och aviserad ränta ingår.</x:v>
      </x:c>
      <x:c r="E31" s="23" t="n">
        <x:v>2</x:v>
      </x:c>
      <x:c r="F31" s="39" t="n">
        <x:v>10.6982421875</x:v>
      </x:c>
    </x:row>
    <x:row r="32">
      <x:c r="A32" s="1" t="str">
        <x:v>2017-05-30_02-438379.pdf</x:v>
      </x:c>
      <x:c r="B32" s="1" t="str">
        <x:v>Bolåneavi</x:v>
      </x:c>
      <x:c r="C32" s="1" t="str">
        <x:v>Ja</x:v>
      </x:c>
      <x:c r="D32" s="1" t="str">
        <x:v>Bolån och aviserad ränta ingår.</x:v>
      </x:c>
      <x:c r="E32" s="23" t="n">
        <x:v>1</x:v>
      </x:c>
      <x:c r="F32" s="39" t="n">
        <x:v>8.3203125</x:v>
      </x:c>
    </x:row>
    <x:row r="33">
      <x:c r="A33" s="1" t="str">
        <x:v>2017-06-01_02-279136.pdf</x:v>
      </x:c>
      <x:c r="B33" s="1" t="str">
        <x:v>Bolåneavi</x:v>
      </x:c>
      <x:c r="C33" s="1" t="str">
        <x:v>Ja</x:v>
      </x:c>
      <x:c r="D33" s="1" t="str">
        <x:v>Bolån och aviserad ränta ingår.</x:v>
      </x:c>
      <x:c r="E33" s="23" t="n">
        <x:v>2</x:v>
      </x:c>
      <x:c r="F33" s="39" t="n">
        <x:v>10.6982421875</x:v>
      </x:c>
    </x:row>
    <x:row r="34">
      <x:c r="A34" s="1" t="str">
        <x:v>2017-06-30_02-438379.pdf</x:v>
      </x:c>
      <x:c r="B34" s="1" t="str">
        <x:v>Bolåneavi</x:v>
      </x:c>
      <x:c r="C34" s="1" t="str">
        <x:v>Ja</x:v>
      </x:c>
      <x:c r="D34" s="1" t="str">
        <x:v>Bolån och aviserad ränta ingår.</x:v>
      </x:c>
      <x:c r="E34" s="23" t="n">
        <x:v>1</x:v>
      </x:c>
      <x:c r="F34" s="39" t="n">
        <x:v>8.3193359375</x:v>
      </x:c>
    </x:row>
    <x:row r="35">
      <x:c r="A35" s="1" t="str">
        <x:v>2017-07-01_02-279136.pdf</x:v>
      </x:c>
      <x:c r="B35" s="1" t="str">
        <x:v>Bolåneavi</x:v>
      </x:c>
      <x:c r="C35" s="1" t="str">
        <x:v>Ja</x:v>
      </x:c>
      <x:c r="D35" s="1" t="str">
        <x:v>Bolån och aviserad ränta ingår.</x:v>
      </x:c>
      <x:c r="E35" s="23" t="n">
        <x:v>2</x:v>
      </x:c>
      <x:c r="F35" s="39" t="n">
        <x:v>10.6982421875</x:v>
      </x:c>
    </x:row>
    <x:row r="36">
      <x:c r="A36" s="1" t="str">
        <x:v>2017-07-30_02-438379.pdf</x:v>
      </x:c>
      <x:c r="B36" s="1" t="str">
        <x:v>Bolåneavi</x:v>
      </x:c>
      <x:c r="C36" s="1" t="str">
        <x:v>Ja</x:v>
      </x:c>
      <x:c r="D36" s="1" t="str">
        <x:v>Bolån och aviserad ränta ingår.</x:v>
      </x:c>
      <x:c r="E36" s="23" t="n">
        <x:v>1</x:v>
      </x:c>
      <x:c r="F36" s="39" t="n">
        <x:v>8.3193359375</x:v>
      </x:c>
    </x:row>
    <x:row r="37">
      <x:c r="A37" s="1" t="str">
        <x:v>2017-08-01_02-279136.pdf</x:v>
      </x:c>
      <x:c r="B37" s="1" t="str">
        <x:v>Bolåneavi</x:v>
      </x:c>
      <x:c r="C37" s="1" t="str">
        <x:v>Ja</x:v>
      </x:c>
      <x:c r="D37" s="1" t="str">
        <x:v>Bolån och aviserad ränta ingår.</x:v>
      </x:c>
      <x:c r="E37" s="23" t="n">
        <x:v>2</x:v>
      </x:c>
      <x:c r="F37" s="39" t="n">
        <x:v>10.6982421875</x:v>
      </x:c>
    </x:row>
    <x:row r="38">
      <x:c r="A38" s="1" t="str">
        <x:v>2017-08-30_02-438379.pdf</x:v>
      </x:c>
      <x:c r="B38" s="1" t="str">
        <x:v>Bolåneavi</x:v>
      </x:c>
      <x:c r="C38" s="1" t="str">
        <x:v>Ja</x:v>
      </x:c>
      <x:c r="D38" s="1" t="str">
        <x:v>Bolån och aviserad ränta ingår.</x:v>
      </x:c>
      <x:c r="E38" s="23" t="n">
        <x:v>1</x:v>
      </x:c>
      <x:c r="F38" s="39" t="n">
        <x:v>8.318359375</x:v>
      </x:c>
    </x:row>
    <x:row r="39">
      <x:c r="A39" s="1" t="str">
        <x:v>2017-09-01_02-279136.pdf</x:v>
      </x:c>
      <x:c r="B39" s="1" t="str">
        <x:v>Bolåneavi</x:v>
      </x:c>
      <x:c r="C39" s="1" t="str">
        <x:v>Ja</x:v>
      </x:c>
      <x:c r="D39" s="1" t="str">
        <x:v>Bolån och aviserad ränta ingår.</x:v>
      </x:c>
      <x:c r="E39" s="23" t="n">
        <x:v>2</x:v>
      </x:c>
      <x:c r="F39" s="39" t="n">
        <x:v>10.697265625</x:v>
      </x:c>
    </x:row>
    <x:row r="40">
      <x:c r="A40" s="1" t="str">
        <x:v>2017-09-30_02-438379.pdf</x:v>
      </x:c>
      <x:c r="B40" s="1" t="str">
        <x:v>Bolåneavi</x:v>
      </x:c>
      <x:c r="C40" s="1" t="str">
        <x:v>Ja</x:v>
      </x:c>
      <x:c r="D40" s="1" t="str">
        <x:v>Bolån och aviserad ränta ingår.</x:v>
      </x:c>
      <x:c r="E40" s="23" t="n">
        <x:v>1</x:v>
      </x:c>
      <x:c r="F40" s="39" t="n">
        <x:v>8.3203125</x:v>
      </x:c>
    </x:row>
    <x:row r="41">
      <x:c r="A41" s="1" t="str">
        <x:v>2017-10-01_02-279136.pdf</x:v>
      </x:c>
      <x:c r="B41" s="1" t="str">
        <x:v>Bolåneavi</x:v>
      </x:c>
      <x:c r="C41" s="1" t="str">
        <x:v>Ja</x:v>
      </x:c>
      <x:c r="D41" s="1" t="str">
        <x:v>Bolån och aviserad ränta ingår.</x:v>
      </x:c>
      <x:c r="E41" s="23" t="n">
        <x:v>2</x:v>
      </x:c>
      <x:c r="F41" s="39" t="n">
        <x:v>10.701171875</x:v>
      </x:c>
    </x:row>
    <x:row r="42">
      <x:c r="A42" s="1" t="str">
        <x:v>2017-10-30_02-438379.pdf</x:v>
      </x:c>
      <x:c r="B42" s="1" t="str">
        <x:v>Bolåneavi</x:v>
      </x:c>
      <x:c r="C42" s="1" t="str">
        <x:v>Ja</x:v>
      </x:c>
      <x:c r="D42" s="1" t="str">
        <x:v>Bolån och aviserad ränta ingår.</x:v>
      </x:c>
      <x:c r="E42" s="23" t="n">
        <x:v>1</x:v>
      </x:c>
      <x:c r="F42" s="39" t="n">
        <x:v>8.3193359375</x:v>
      </x:c>
    </x:row>
    <x:row r="43">
      <x:c r="A43" s="1" t="str">
        <x:v>2017-11-01_02-279136.pdf</x:v>
      </x:c>
      <x:c r="B43" s="1" t="str">
        <x:v>Bolåneavi</x:v>
      </x:c>
      <x:c r="C43" s="1" t="str">
        <x:v>Ja</x:v>
      </x:c>
      <x:c r="D43" s="1" t="str">
        <x:v>Bolån och aviserad ränta ingår.</x:v>
      </x:c>
      <x:c r="E43" s="23" t="n">
        <x:v>2</x:v>
      </x:c>
      <x:c r="F43" s="39" t="n">
        <x:v>10.6982421875</x:v>
      </x:c>
    </x:row>
    <x:row r="44">
      <x:c r="A44" s="1" t="str">
        <x:v>2017-11-30_02-438379.pdf</x:v>
      </x:c>
      <x:c r="B44" s="1" t="str">
        <x:v>Bolåneavi</x:v>
      </x:c>
      <x:c r="C44" s="1" t="str">
        <x:v>Ja</x:v>
      </x:c>
      <x:c r="D44" s="1" t="str">
        <x:v>Bolån och aviserad ränta ingår.</x:v>
      </x:c>
      <x:c r="E44" s="23" t="n">
        <x:v>1</x:v>
      </x:c>
      <x:c r="F44" s="39" t="n">
        <x:v>8.3212890625</x:v>
      </x:c>
    </x:row>
    <x:row r="45">
      <x:c r="A45" s="1" t="str">
        <x:v>2017-12-01_02-279136.pdf</x:v>
      </x:c>
      <x:c r="B45" s="1" t="str">
        <x:v>Bolåneavi</x:v>
      </x:c>
      <x:c r="C45" s="1" t="str">
        <x:v>Ja</x:v>
      </x:c>
      <x:c r="D45" s="1" t="str">
        <x:v>Bolån och aviserad ränta ingår.</x:v>
      </x:c>
      <x:c r="E45" s="23" t="n">
        <x:v>2</x:v>
      </x:c>
      <x:c r="F45" s="39" t="n">
        <x:v>10.69921875</x:v>
      </x:c>
    </x:row>
    <x:row r="46">
      <x:c r="A46" s="1" t="str">
        <x:v>2017-12-30_02-438379.pdf</x:v>
      </x:c>
      <x:c r="B46" s="1" t="str">
        <x:v>Bolåneavi</x:v>
      </x:c>
      <x:c r="C46" s="1" t="str">
        <x:v>Ja</x:v>
      </x:c>
      <x:c r="D46" s="1" t="str">
        <x:v>Bolån och aviserad ränta ingår.</x:v>
      </x:c>
      <x:c r="E46" s="23" t="n">
        <x:v>1</x:v>
      </x:c>
      <x:c r="F46" s="39" t="n">
        <x:v>8.318359375</x:v>
      </x:c>
    </x:row>
    <x:row r="47">
      <x:c r="A47" s="1" t="str">
        <x:v>2018-01-01_02-279136.pdf</x:v>
      </x:c>
      <x:c r="B47" s="1" t="str">
        <x:v>Bolåneavi</x:v>
      </x:c>
      <x:c r="C47" s="1" t="str">
        <x:v>Ja</x:v>
      </x:c>
      <x:c r="D47" s="1" t="str">
        <x:v>Bolån och aviserad ränta ingår.</x:v>
      </x:c>
      <x:c r="E47" s="23" t="n">
        <x:v>2</x:v>
      </x:c>
      <x:c r="F47" s="39" t="n">
        <x:v>10.7041015625</x:v>
      </x:c>
    </x:row>
    <x:row r="48">
      <x:c r="A48" s="1" t="str">
        <x:v>2018-01-30_02-438379.pdf</x:v>
      </x:c>
      <x:c r="B48" s="1" t="str">
        <x:v>Bolåneavi</x:v>
      </x:c>
      <x:c r="C48" s="1" t="str">
        <x:v>Ja</x:v>
      </x:c>
      <x:c r="D48" s="1" t="str">
        <x:v>Bolån och aviserad ränta ingår.</x:v>
      </x:c>
      <x:c r="E48" s="23" t="n">
        <x:v>1</x:v>
      </x:c>
      <x:c r="F48" s="39" t="n">
        <x:v>8.6181640625</x:v>
      </x:c>
    </x:row>
    <x:row r="49">
      <x:c r="A49" s="1" t="str">
        <x:v>2018-02-01_02-279136.pdf</x:v>
      </x:c>
      <x:c r="B49" s="1" t="str">
        <x:v>Bolåneavi</x:v>
      </x:c>
      <x:c r="C49" s="1" t="str">
        <x:v>Ja</x:v>
      </x:c>
      <x:c r="D49" s="1" t="str">
        <x:v>Bolån och aviserad ränta ingår.</x:v>
      </x:c>
      <x:c r="E49" s="23" t="n">
        <x:v>2</x:v>
      </x:c>
      <x:c r="F49" s="39" t="n">
        <x:v>10.69921875</x:v>
      </x:c>
    </x:row>
    <x:row r="50">
      <x:c r="A50" s="1" t="str">
        <x:v>2018-03-01_02-279136.pdf</x:v>
      </x:c>
      <x:c r="B50" s="1" t="str">
        <x:v>Bolåneavi</x:v>
      </x:c>
      <x:c r="C50" s="1" t="str">
        <x:v>Ja</x:v>
      </x:c>
      <x:c r="D50" s="1" t="str">
        <x:v>Bolån och aviserad ränta ingår.</x:v>
      </x:c>
      <x:c r="E50" s="23" t="n">
        <x:v>2</x:v>
      </x:c>
      <x:c r="F50" s="39" t="n">
        <x:v>10.693359375</x:v>
      </x:c>
    </x:row>
    <x:row r="51">
      <x:c r="A51" s="1" t="str">
        <x:v>2018-03-01_02-438379.pdf</x:v>
      </x:c>
      <x:c r="B51" s="1" t="str">
        <x:v>Bolåneavi</x:v>
      </x:c>
      <x:c r="C51" s="1" t="str">
        <x:v>Ja</x:v>
      </x:c>
      <x:c r="D51" s="1" t="str">
        <x:v>Bolån och aviserad ränta ingår.</x:v>
      </x:c>
      <x:c r="E51" s="23" t="n">
        <x:v>1</x:v>
      </x:c>
      <x:c r="F51" s="39" t="n">
        <x:v>8.58203125</x:v>
      </x:c>
    </x:row>
    <x:row r="52">
      <x:c r="A52" s="1" t="str">
        <x:v>2018-04-01_02-279136.pdf</x:v>
      </x:c>
      <x:c r="B52" s="1" t="str">
        <x:v>Bolåneavi</x:v>
      </x:c>
      <x:c r="C52" s="1" t="str">
        <x:v>Ja</x:v>
      </x:c>
      <x:c r="D52" s="1" t="str">
        <x:v>Bolån och aviserad ränta ingår.</x:v>
      </x:c>
      <x:c r="E52" s="23" t="n">
        <x:v>2</x:v>
      </x:c>
      <x:c r="F52" s="39" t="n">
        <x:v>10.701171875</x:v>
      </x:c>
    </x:row>
    <x:row r="53">
      <x:c r="A53" s="1" t="str">
        <x:v>2018-04-01_02-438379.pdf</x:v>
      </x:c>
      <x:c r="B53" s="1" t="str">
        <x:v>Bolåneavi</x:v>
      </x:c>
      <x:c r="C53" s="1" t="str">
        <x:v>Ja</x:v>
      </x:c>
      <x:c r="D53" s="1" t="str">
        <x:v>Bolån och aviserad ränta ingår.</x:v>
      </x:c>
      <x:c r="E53" s="23" t="n">
        <x:v>1</x:v>
      </x:c>
      <x:c r="F53" s="39" t="n">
        <x:v>8.765625</x:v>
      </x:c>
    </x:row>
    <x:row r="54">
      <x:c r="A54" s="1" t="str">
        <x:v>2018-05-01_02-279136.pdf</x:v>
      </x:c>
      <x:c r="B54" s="1" t="str">
        <x:v>Bolåneavi</x:v>
      </x:c>
      <x:c r="C54" s="1" t="str">
        <x:v>Ja</x:v>
      </x:c>
      <x:c r="D54" s="1" t="str">
        <x:v>Bolån och aviserad ränta ingår.</x:v>
      </x:c>
      <x:c r="E54" s="23" t="n">
        <x:v>2</x:v>
      </x:c>
      <x:c r="F54" s="39" t="n">
        <x:v>10.701171875</x:v>
      </x:c>
    </x:row>
    <x:row r="55">
      <x:c r="A55" s="1" t="str">
        <x:v>2018-05-01_02-438379.pdf</x:v>
      </x:c>
      <x:c r="B55" s="1" t="str">
        <x:v>Bolåneavi</x:v>
      </x:c>
      <x:c r="C55" s="1" t="str">
        <x:v>Ja</x:v>
      </x:c>
      <x:c r="D55" s="1" t="str">
        <x:v>Bolån och aviserad ränta ingår.</x:v>
      </x:c>
      <x:c r="E55" s="23" t="n">
        <x:v>1</x:v>
      </x:c>
      <x:c r="F55" s="39" t="n">
        <x:v>8.763671875</x:v>
      </x:c>
    </x:row>
    <x:row r="56">
      <x:c r="A56" s="1" t="str">
        <x:v>2018-06-01_02-279136.pdf</x:v>
      </x:c>
      <x:c r="B56" s="1" t="str">
        <x:v>Bolåneavi</x:v>
      </x:c>
      <x:c r="C56" s="1" t="str">
        <x:v>Ja</x:v>
      </x:c>
      <x:c r="D56" s="1" t="str">
        <x:v>Bolån och aviserad ränta ingår.</x:v>
      </x:c>
      <x:c r="E56" s="23" t="n">
        <x:v>2</x:v>
      </x:c>
      <x:c r="F56" s="39" t="n">
        <x:v>10.6982421875</x:v>
      </x:c>
    </x:row>
    <x:row r="57">
      <x:c r="A57" s="1" t="str">
        <x:v>2018-06-01_02-438379.pdf</x:v>
      </x:c>
      <x:c r="B57" s="1" t="str">
        <x:v>Bolåneavi</x:v>
      </x:c>
      <x:c r="C57" s="1" t="str">
        <x:v>Ja</x:v>
      </x:c>
      <x:c r="D57" s="1" t="str">
        <x:v>Bolån och aviserad ränta ingår.</x:v>
      </x:c>
      <x:c r="E57" s="23" t="n">
        <x:v>1</x:v>
      </x:c>
      <x:c r="F57" s="39" t="n">
        <x:v>8.759765625</x:v>
      </x:c>
    </x:row>
    <x:row r="58">
      <x:c r="A58" s="1" t="str">
        <x:v>2018-07-01_02-279136.pdf</x:v>
      </x:c>
      <x:c r="B58" s="1" t="str">
        <x:v>Bolåneavi</x:v>
      </x:c>
      <x:c r="C58" s="1" t="str">
        <x:v>Ja</x:v>
      </x:c>
      <x:c r="D58" s="1" t="str">
        <x:v>Bolån och aviserad ränta ingår.</x:v>
      </x:c>
      <x:c r="E58" s="23" t="n">
        <x:v>2</x:v>
      </x:c>
      <x:c r="F58" s="39" t="n">
        <x:v>10.697265625</x:v>
      </x:c>
    </x:row>
    <x:row r="59">
      <x:c r="A59" s="1" t="str">
        <x:v>2018-07-01_02-438379.pdf</x:v>
      </x:c>
      <x:c r="B59" s="1" t="str">
        <x:v>Bolåneavi</x:v>
      </x:c>
      <x:c r="C59" s="1" t="str">
        <x:v>Ja</x:v>
      </x:c>
      <x:c r="D59" s="1" t="str">
        <x:v>Bolån och aviserad ränta ingår.</x:v>
      </x:c>
      <x:c r="E59" s="23" t="n">
        <x:v>1</x:v>
      </x:c>
      <x:c r="F59" s="39" t="n">
        <x:v>8.7646484375</x:v>
      </x:c>
    </x:row>
    <x:row r="60">
      <x:c r="A60" s="1" t="str">
        <x:v>2018-08-01_02-279136.pdf</x:v>
      </x:c>
      <x:c r="B60" s="1" t="str">
        <x:v>Bolåneavi</x:v>
      </x:c>
      <x:c r="C60" s="1" t="str">
        <x:v>Ja</x:v>
      </x:c>
      <x:c r="D60" s="1" t="str">
        <x:v>Bolån och aviserad ränta ingår.</x:v>
      </x:c>
      <x:c r="E60" s="23" t="n">
        <x:v>2</x:v>
      </x:c>
      <x:c r="F60" s="39" t="n">
        <x:v>10.7001953125</x:v>
      </x:c>
    </x:row>
    <x:row r="61">
      <x:c r="A61" s="1" t="str">
        <x:v>2018-08-01_02-438379.pdf</x:v>
      </x:c>
      <x:c r="B61" s="1" t="str">
        <x:v>Bolåneavi</x:v>
      </x:c>
      <x:c r="C61" s="1" t="str">
        <x:v>Ja</x:v>
      </x:c>
      <x:c r="D61" s="1" t="str">
        <x:v>Bolån och aviserad ränta ingår.</x:v>
      </x:c>
      <x:c r="E61" s="23" t="n">
        <x:v>1</x:v>
      </x:c>
      <x:c r="F61" s="39" t="n">
        <x:v>8.759765625</x:v>
      </x:c>
    </x:row>
    <x:row r="62">
      <x:c r="A62" s="1" t="str">
        <x:v>2018-09-01_02-279136.pdf</x:v>
      </x:c>
      <x:c r="B62" s="1" t="str">
        <x:v>Bolåneavi</x:v>
      </x:c>
      <x:c r="C62" s="1" t="str">
        <x:v>Ja</x:v>
      </x:c>
      <x:c r="D62" s="1" t="str">
        <x:v>Bolån och aviserad ränta ingår.</x:v>
      </x:c>
      <x:c r="E62" s="23" t="n">
        <x:v>2</x:v>
      </x:c>
      <x:c r="F62" s="39" t="n">
        <x:v>10.6923828125</x:v>
      </x:c>
    </x:row>
    <x:row r="63">
      <x:c r="A63" s="1" t="str">
        <x:v>2018-09-01_02-438379.pdf</x:v>
      </x:c>
      <x:c r="B63" s="1" t="str">
        <x:v>Bolåneavi</x:v>
      </x:c>
      <x:c r="C63" s="1" t="str">
        <x:v>Ja</x:v>
      </x:c>
      <x:c r="D63" s="1" t="str">
        <x:v>Bolån och aviserad ränta ingår.</x:v>
      </x:c>
      <x:c r="E63" s="23" t="n">
        <x:v>1</x:v>
      </x:c>
      <x:c r="F63" s="39" t="n">
        <x:v>8.7587890625</x:v>
      </x:c>
    </x:row>
    <x:row r="64">
      <x:c r="A64" s="1" t="str">
        <x:v>2018-10-01_02-279136.pdf</x:v>
      </x:c>
      <x:c r="B64" s="1" t="str">
        <x:v>Bolåneavi</x:v>
      </x:c>
      <x:c r="C64" s="1" t="str">
        <x:v>Ja</x:v>
      </x:c>
      <x:c r="D64" s="1" t="str">
        <x:v>Bolån och aviserad ränta ingår.</x:v>
      </x:c>
      <x:c r="E64" s="23" t="n">
        <x:v>2</x:v>
      </x:c>
      <x:c r="F64" s="39" t="n">
        <x:v>10.7041015625</x:v>
      </x:c>
    </x:row>
    <x:row r="65">
      <x:c r="A65" s="1" t="str">
        <x:v>2018-10-01_02-438379.pdf</x:v>
      </x:c>
      <x:c r="B65" s="1" t="str">
        <x:v>Bolåneavi</x:v>
      </x:c>
      <x:c r="C65" s="1" t="str">
        <x:v>Ja</x:v>
      </x:c>
      <x:c r="D65" s="1" t="str">
        <x:v>Bolån och aviserad ränta ingår.</x:v>
      </x:c>
      <x:c r="E65" s="23" t="n">
        <x:v>1</x:v>
      </x:c>
      <x:c r="F65" s="39" t="n">
        <x:v>8.7607421875</x:v>
      </x:c>
    </x:row>
    <x:row r="66">
      <x:c r="A66" s="1" t="str">
        <x:v>2018-11-01_02-279136.pdf</x:v>
      </x:c>
      <x:c r="B66" s="1" t="str">
        <x:v>Bolåneavi</x:v>
      </x:c>
      <x:c r="C66" s="1" t="str">
        <x:v>Ja</x:v>
      </x:c>
      <x:c r="D66" s="1" t="str">
        <x:v>Bolån och aviserad ränta ingår.</x:v>
      </x:c>
      <x:c r="E66" s="23" t="n">
        <x:v>2</x:v>
      </x:c>
      <x:c r="F66" s="39" t="n">
        <x:v>10.6982421875</x:v>
      </x:c>
    </x:row>
    <x:row r="67">
      <x:c r="A67" s="1" t="str">
        <x:v>2018-11-01_02-438379.pdf</x:v>
      </x:c>
      <x:c r="B67" s="1" t="str">
        <x:v>Bolåneavi</x:v>
      </x:c>
      <x:c r="C67" s="1" t="str">
        <x:v>Ja</x:v>
      </x:c>
      <x:c r="D67" s="1" t="str">
        <x:v>Bolån och aviserad ränta ingår.</x:v>
      </x:c>
      <x:c r="E67" s="23" t="n">
        <x:v>1</x:v>
      </x:c>
      <x:c r="F67" s="39" t="n">
        <x:v>8.7607421875</x:v>
      </x:c>
    </x:row>
    <x:row r="68">
      <x:c r="A68" s="1" t="str">
        <x:v>2018-12-01_02-279136.pdf</x:v>
      </x:c>
      <x:c r="B68" s="1" t="str">
        <x:v>Bolåneavi</x:v>
      </x:c>
      <x:c r="C68" s="1" t="str">
        <x:v>Ja</x:v>
      </x:c>
      <x:c r="D68" s="1" t="str">
        <x:v>Bolån och aviserad ränta ingår.</x:v>
      </x:c>
      <x:c r="E68" s="23" t="n">
        <x:v>2</x:v>
      </x:c>
      <x:c r="F68" s="39" t="n">
        <x:v>10.6982421875</x:v>
      </x:c>
    </x:row>
    <x:row r="69">
      <x:c r="A69" s="1" t="str">
        <x:v>2018-12-01_02-438379.pdf</x:v>
      </x:c>
      <x:c r="B69" s="1" t="str">
        <x:v>Bolåneavi</x:v>
      </x:c>
      <x:c r="C69" s="1" t="str">
        <x:v>Ja</x:v>
      </x:c>
      <x:c r="D69" s="1" t="str">
        <x:v>Bolån och aviserad ränta ingår.</x:v>
      </x:c>
      <x:c r="E69" s="23" t="n">
        <x:v>1</x:v>
      </x:c>
      <x:c r="F69" s="39" t="n">
        <x:v>8.759765625</x:v>
      </x:c>
    </x:row>
    <x:row r="70">
      <x:c r="A70" s="1" t="str">
        <x:v>2019-01-01_02-279136.pdf</x:v>
      </x:c>
      <x:c r="B70" s="1" t="str">
        <x:v>Bolåneavi</x:v>
      </x:c>
      <x:c r="C70" s="1" t="str">
        <x:v>Ja</x:v>
      </x:c>
      <x:c r="D70" s="1" t="str">
        <x:v>Bolån och aviserad ränta ingår.</x:v>
      </x:c>
      <x:c r="E70" s="23" t="n">
        <x:v>2</x:v>
      </x:c>
      <x:c r="F70" s="39" t="n">
        <x:v>10.7021484375</x:v>
      </x:c>
    </x:row>
    <x:row r="71">
      <x:c r="A71" s="1" t="str">
        <x:v>2019-01-01_02-438379.pdf</x:v>
      </x:c>
      <x:c r="B71" s="1" t="str">
        <x:v>Bolåneavi</x:v>
      </x:c>
      <x:c r="C71" s="1" t="str">
        <x:v>Ja</x:v>
      </x:c>
      <x:c r="D71" s="1" t="str">
        <x:v>Bolån och aviserad ränta ingår.</x:v>
      </x:c>
      <x:c r="E71" s="23" t="n">
        <x:v>1</x:v>
      </x:c>
      <x:c r="F71" s="39" t="n">
        <x:v>8.7626953125</x:v>
      </x:c>
    </x:row>
    <x:row r="72">
      <x:c r="A72" s="1" t="str">
        <x:v>2019-02-01_02-279136.pdf</x:v>
      </x:c>
      <x:c r="B72" s="1" t="str">
        <x:v>Bolåneavi</x:v>
      </x:c>
      <x:c r="C72" s="1" t="str">
        <x:v>Ja</x:v>
      </x:c>
      <x:c r="D72" s="1" t="str">
        <x:v>Bolån och aviserad ränta ingår.</x:v>
      </x:c>
      <x:c r="E72" s="23" t="n">
        <x:v>2</x:v>
      </x:c>
      <x:c r="F72" s="39" t="n">
        <x:v>10.7001953125</x:v>
      </x:c>
    </x:row>
    <x:row r="73">
      <x:c r="A73" s="1" t="str">
        <x:v>2019-02-01_02-438379.pdf</x:v>
      </x:c>
      <x:c r="B73" s="1" t="str">
        <x:v>Bolåneavi</x:v>
      </x:c>
      <x:c r="C73" s="1" t="str">
        <x:v>Ja</x:v>
      </x:c>
      <x:c r="D73" s="1" t="str">
        <x:v>Bolån och aviserad ränta ingår.</x:v>
      </x:c>
      <x:c r="E73" s="23" t="n">
        <x:v>1</x:v>
      </x:c>
      <x:c r="F73" s="39" t="n">
        <x:v>8.76171875</x:v>
      </x:c>
    </x:row>
    <x:row r="74">
      <x:c r="A74" s="1" t="str">
        <x:v>2019-03-01_02-279136.pdf</x:v>
      </x:c>
      <x:c r="B74" s="1" t="str">
        <x:v>Bolåneavi</x:v>
      </x:c>
      <x:c r="C74" s="1" t="str">
        <x:v>Ja</x:v>
      </x:c>
      <x:c r="D74" s="1" t="str">
        <x:v>Bolån och aviserad ränta ingår.</x:v>
      </x:c>
      <x:c r="E74" s="23" t="n">
        <x:v>2</x:v>
      </x:c>
      <x:c r="F74" s="39" t="n">
        <x:v>10.6953125</x:v>
      </x:c>
    </x:row>
    <x:row r="75">
      <x:c r="A75" s="1" t="str">
        <x:v>2019-03-01_02-438379.pdf</x:v>
      </x:c>
      <x:c r="B75" s="1" t="str">
        <x:v>Bolåneavi</x:v>
      </x:c>
      <x:c r="C75" s="1" t="str">
        <x:v>Ja</x:v>
      </x:c>
      <x:c r="D75" s="1" t="str">
        <x:v>Bolån och aviserad ränta ingår.</x:v>
      </x:c>
      <x:c r="E75" s="23" t="n">
        <x:v>1</x:v>
      </x:c>
      <x:c r="F75" s="39" t="n">
        <x:v>8.7607421875</x:v>
      </x:c>
    </x:row>
    <x:row r="76">
      <x:c r="A76" s="1" t="str">
        <x:v>2019-04-01_02-279136.pdf</x:v>
      </x:c>
      <x:c r="B76" s="1" t="str">
        <x:v>Bolåneavi</x:v>
      </x:c>
      <x:c r="C76" s="1" t="str">
        <x:v>Ja</x:v>
      </x:c>
      <x:c r="D76" s="1" t="str">
        <x:v>Bolån och aviserad ränta ingår.</x:v>
      </x:c>
      <x:c r="E76" s="23" t="n">
        <x:v>2</x:v>
      </x:c>
      <x:c r="F76" s="39" t="n">
        <x:v>10.6982421875</x:v>
      </x:c>
    </x:row>
    <x:row r="77">
      <x:c r="A77" s="1" t="str">
        <x:v>2019-05-01_02-279136.pdf</x:v>
      </x:c>
      <x:c r="B77" s="1" t="str">
        <x:v>Bolåneavi</x:v>
      </x:c>
      <x:c r="C77" s="1" t="str">
        <x:v>Ja</x:v>
      </x:c>
      <x:c r="D77" s="1" t="str">
        <x:v>Bolån och aviserad ränta ingår.</x:v>
      </x:c>
      <x:c r="E77" s="23" t="n">
        <x:v>2</x:v>
      </x:c>
      <x:c r="F77" s="39" t="n">
        <x:v>10.6962890625</x:v>
      </x:c>
    </x:row>
    <x:row r="78">
      <x:c r="A78" s="1" t="str">
        <x:v>2019-05-01_02-279136_2.pdf</x:v>
      </x:c>
      <x:c r="B78" s="1" t="str">
        <x:v>Bolåneavi</x:v>
      </x:c>
      <x:c r="C78" s="1" t="str">
        <x:v>Ja</x:v>
      </x:c>
      <x:c r="D78" s="1" t="str">
        <x:v>Bolån och aviserad ränta ingår.</x:v>
      </x:c>
      <x:c r="E78" s="23" t="n">
        <x:v>1</x:v>
      </x:c>
      <x:c r="F78" s="39" t="n">
        <x:v>8.759765625</x:v>
      </x:c>
    </x:row>
    <x:row r="79">
      <x:c r="A79" s="1" t="str">
        <x:v>2019-06-01_02-279136.pdf</x:v>
      </x:c>
      <x:c r="B79" s="1" t="str">
        <x:v>Bolåneavi</x:v>
      </x:c>
      <x:c r="C79" s="1" t="str">
        <x:v>Ja</x:v>
      </x:c>
      <x:c r="D79" s="1" t="str">
        <x:v>Bolån och aviserad ränta ingår.</x:v>
      </x:c>
      <x:c r="E79" s="23" t="n">
        <x:v>2</x:v>
      </x:c>
      <x:c r="F79" s="39" t="n">
        <x:v>10.8466796875</x:v>
      </x:c>
    </x:row>
    <x:row r="80">
      <x:c r="A80" s="1" t="str">
        <x:v>2019-07-01_02-279136.pdf</x:v>
      </x:c>
      <x:c r="B80" s="1" t="str">
        <x:v>Bolåneavi</x:v>
      </x:c>
      <x:c r="C80" s="1" t="str">
        <x:v>Ja</x:v>
      </x:c>
      <x:c r="D80" s="1" t="str">
        <x:v>Bolån och aviserad ränta ingår.</x:v>
      </x:c>
      <x:c r="E80" s="23" t="n">
        <x:v>2</x:v>
      </x:c>
      <x:c r="F80" s="39" t="n">
        <x:v>10.8388671875</x:v>
      </x:c>
    </x:row>
    <x:row r="81">
      <x:c r="A81" s="1" t="str">
        <x:v>2019-08-01_02-279136.pdf</x:v>
      </x:c>
      <x:c r="B81" s="1" t="str">
        <x:v>Bolåneavi</x:v>
      </x:c>
      <x:c r="C81" s="1" t="str">
        <x:v>Ja</x:v>
      </x:c>
      <x:c r="D81" s="1" t="str">
        <x:v>Bolån och aviserad ränta ingår.</x:v>
      </x:c>
      <x:c r="E81" s="23" t="n">
        <x:v>2</x:v>
      </x:c>
      <x:c r="F81" s="39" t="n">
        <x:v>10.84765625</x:v>
      </x:c>
    </x:row>
    <x:row r="82">
      <x:c r="A82" s="1" t="str">
        <x:v>2019-09-01_02-279136.pdf</x:v>
      </x:c>
      <x:c r="B82" s="1" t="str">
        <x:v>Bolåneavi</x:v>
      </x:c>
      <x:c r="C82" s="1" t="str">
        <x:v>Ja</x:v>
      </x:c>
      <x:c r="D82" s="1" t="str">
        <x:v>Bolån och aviserad ränta ingår.</x:v>
      </x:c>
      <x:c r="E82" s="23" t="n">
        <x:v>2</x:v>
      </x:c>
      <x:c r="F82" s="39" t="n">
        <x:v>10.849609375</x:v>
      </x:c>
    </x:row>
    <x:row r="83">
      <x:c r="A83" s="1" t="str">
        <x:v>2019-10-01_02-279136.pdf</x:v>
      </x:c>
      <x:c r="B83" s="1" t="str">
        <x:v>Bolåneavi</x:v>
      </x:c>
      <x:c r="C83" s="1" t="str">
        <x:v>Ja</x:v>
      </x:c>
      <x:c r="D83" s="1" t="str">
        <x:v>Bolån och aviserad ränta ingår.</x:v>
      </x:c>
      <x:c r="E83" s="23" t="n">
        <x:v>2</x:v>
      </x:c>
      <x:c r="F83" s="39" t="n">
        <x:v>10.84375</x:v>
      </x:c>
    </x:row>
    <x:row r="84">
      <x:c r="A84" s="1" t="str">
        <x:v>2019-11-01_02-279136.pdf</x:v>
      </x:c>
      <x:c r="B84" s="1" t="str">
        <x:v>Bolåneavi</x:v>
      </x:c>
      <x:c r="C84" s="1" t="str">
        <x:v>Ja</x:v>
      </x:c>
      <x:c r="D84" s="1" t="str">
        <x:v>Bolån och aviserad ränta ingår.</x:v>
      </x:c>
      <x:c r="E84" s="23" t="n">
        <x:v>2</x:v>
      </x:c>
      <x:c r="F84" s="39" t="n">
        <x:v>10.845703125</x:v>
      </x:c>
    </x:row>
    <x:row r="85">
      <x:c r="A85" s="1" t="str">
        <x:v>2019-12-01_02-279136.pdf</x:v>
      </x:c>
      <x:c r="B85" s="1" t="str">
        <x:v>Bolåneavi</x:v>
      </x:c>
      <x:c r="C85" s="1" t="str">
        <x:v>Ja</x:v>
      </x:c>
      <x:c r="D85" s="1" t="str">
        <x:v>Bolån och aviserad ränta ingår.</x:v>
      </x:c>
      <x:c r="E85" s="23" t="n">
        <x:v>2</x:v>
      </x:c>
      <x:c r="F85" s="39" t="n">
        <x:v>10.8515625</x:v>
      </x:c>
    </x:row>
    <x:row r="86">
      <x:c r="A86" s="1" t="str">
        <x:v>2020-01-01_02-279136.pdf</x:v>
      </x:c>
      <x:c r="B86" s="1" t="str">
        <x:v>Bolåneavi</x:v>
      </x:c>
      <x:c r="C86" s="1" t="str">
        <x:v>Ja</x:v>
      </x:c>
      <x:c r="D86" s="1" t="str">
        <x:v>Bolån och aviserad ränta ingår.</x:v>
      </x:c>
      <x:c r="E86" s="23" t="n">
        <x:v>2</x:v>
      </x:c>
      <x:c r="F86" s="39" t="n">
        <x:v>10.83984375</x:v>
      </x:c>
    </x:row>
    <x:row r="87">
      <x:c r="A87" s="1" t="str">
        <x:v>2020-02-01_02-279136.pdf</x:v>
      </x:c>
      <x:c r="B87" s="1" t="str">
        <x:v>Bolåneavi</x:v>
      </x:c>
      <x:c r="C87" s="1" t="str">
        <x:v>Ja</x:v>
      </x:c>
      <x:c r="D87" s="1" t="str">
        <x:v>Bolån och aviserad ränta ingår.</x:v>
      </x:c>
      <x:c r="E87" s="23" t="n">
        <x:v>2</x:v>
      </x:c>
      <x:c r="F87" s="39" t="n">
        <x:v>10.845703125</x:v>
      </x:c>
    </x:row>
    <x:row r="88">
      <x:c r="A88" s="1" t="str">
        <x:v>2020-03-01_02-279136.pdf</x:v>
      </x:c>
      <x:c r="B88" s="1" t="str">
        <x:v>Bolåneavi</x:v>
      </x:c>
      <x:c r="C88" s="1" t="str">
        <x:v>Ja</x:v>
      </x:c>
      <x:c r="D88" s="1" t="str">
        <x:v>Bolån och aviserad ränta ingår.</x:v>
      </x:c>
      <x:c r="E88" s="23" t="n">
        <x:v>2</x:v>
      </x:c>
      <x:c r="F88" s="39" t="n">
        <x:v>10.845703125</x:v>
      </x:c>
    </x:row>
    <x:row r="89">
      <x:c r="A89" s="1" t="str">
        <x:v>2020-04-01_02-279136.pdf</x:v>
      </x:c>
      <x:c r="B89" s="1" t="str">
        <x:v>Bolåneavi</x:v>
      </x:c>
      <x:c r="C89" s="1" t="str">
        <x:v>Ja</x:v>
      </x:c>
      <x:c r="D89" s="1" t="str">
        <x:v>Bolån och aviserad ränta ingår.</x:v>
      </x:c>
      <x:c r="E89" s="23" t="n">
        <x:v>2</x:v>
      </x:c>
      <x:c r="F89" s="39" t="n">
        <x:v>10.84765625</x:v>
      </x:c>
    </x:row>
    <x:row r="90">
      <x:c r="A90" s="1" t="str">
        <x:v>2020-05-01_02-279136.pdf</x:v>
      </x:c>
      <x:c r="B90" s="1" t="str">
        <x:v>Bolåneavi</x:v>
      </x:c>
      <x:c r="C90" s="1" t="str">
        <x:v>Ja</x:v>
      </x:c>
      <x:c r="D90" s="1" t="str">
        <x:v>Bolån och aviserad ränta ingår.</x:v>
      </x:c>
      <x:c r="E90" s="23" t="n">
        <x:v>2</x:v>
      </x:c>
      <x:c r="F90" s="39" t="n">
        <x:v>10.8427734375</x:v>
      </x:c>
    </x:row>
    <x:row r="91">
      <x:c r="A91" s="1" t="str">
        <x:v>2020-06-01_02-279136.pdf</x:v>
      </x:c>
      <x:c r="B91" s="1" t="str">
        <x:v>Bolåneavi</x:v>
      </x:c>
      <x:c r="C91" s="1" t="str">
        <x:v>Ja</x:v>
      </x:c>
      <x:c r="D91" s="1" t="str">
        <x:v>Bolån och aviserad ränta ingår.</x:v>
      </x:c>
      <x:c r="E91" s="23" t="n">
        <x:v>2</x:v>
      </x:c>
      <x:c r="F91" s="39" t="n">
        <x:v>10.8466796875</x:v>
      </x:c>
    </x:row>
    <x:row r="92">
      <x:c r="A92" s="1" t="str">
        <x:v>2020-07-01_02-279136.pdf</x:v>
      </x:c>
      <x:c r="B92" s="1" t="str">
        <x:v>Bolåneavi</x:v>
      </x:c>
      <x:c r="C92" s="1" t="str">
        <x:v>Ja</x:v>
      </x:c>
      <x:c r="D92" s="1" t="str">
        <x:v>Bolån och aviserad ränta ingår.</x:v>
      </x:c>
      <x:c r="E92" s="23" t="n">
        <x:v>2</x:v>
      </x:c>
      <x:c r="F92" s="39" t="n">
        <x:v>10.845703125</x:v>
      </x:c>
    </x:row>
    <x:row r="93">
      <x:c r="A93" s="1" t="str">
        <x:v>2020-08-01_02-279136.pdf</x:v>
      </x:c>
      <x:c r="B93" s="1" t="str">
        <x:v>Bolåneavi</x:v>
      </x:c>
      <x:c r="C93" s="1" t="str">
        <x:v>Ja</x:v>
      </x:c>
      <x:c r="D93" s="1" t="str">
        <x:v>Bolån och aviserad ränta ingår.</x:v>
      </x:c>
      <x:c r="E93" s="23" t="n">
        <x:v>2</x:v>
      </x:c>
      <x:c r="F93" s="39" t="n">
        <x:v>10.837890625</x:v>
      </x:c>
    </x:row>
    <x:row r="94">
      <x:c r="A94" s="1" t="str">
        <x:v>2020-09-01_02-279136.pdf</x:v>
      </x:c>
      <x:c r="B94" s="1" t="str">
        <x:v>Bolåneavi</x:v>
      </x:c>
      <x:c r="C94" s="1" t="str">
        <x:v>Ja</x:v>
      </x:c>
      <x:c r="D94" s="1" t="str">
        <x:v>Bolån och aviserad ränta ingår.</x:v>
      </x:c>
      <x:c r="E94" s="23" t="n">
        <x:v>2</x:v>
      </x:c>
      <x:c r="F94" s="39" t="n">
        <x:v>10.833984375</x:v>
      </x:c>
    </x:row>
    <x:row r="95">
      <x:c r="A95" s="1" t="str">
        <x:v>2020-10-01_02-279136.pdf</x:v>
      </x:c>
      <x:c r="B95" s="1" t="str">
        <x:v>Bolåneavi</x:v>
      </x:c>
      <x:c r="C95" s="1" t="str">
        <x:v>Ja</x:v>
      </x:c>
      <x:c r="D95" s="1" t="str">
        <x:v>Bolån och aviserad ränta ingår.</x:v>
      </x:c>
      <x:c r="E95" s="23" t="n">
        <x:v>2</x:v>
      </x:c>
      <x:c r="F95" s="39" t="n">
        <x:v>10.8447265625</x:v>
      </x:c>
    </x:row>
    <x:row r="96">
      <x:c r="A96" s="1" t="str">
        <x:v>2020-11-01_02-279136.pdf</x:v>
      </x:c>
      <x:c r="B96" s="1" t="str">
        <x:v>Bolåneavi</x:v>
      </x:c>
      <x:c r="C96" s="1" t="str">
        <x:v>Ja</x:v>
      </x:c>
      <x:c r="D96" s="1" t="str">
        <x:v>Bolån och aviserad ränta ingår.</x:v>
      </x:c>
      <x:c r="E96" s="23" t="n">
        <x:v>2</x:v>
      </x:c>
      <x:c r="F96" s="39" t="n">
        <x:v>10.8603515625</x:v>
      </x:c>
    </x:row>
    <x:row r="97">
      <x:c r="A97" s="1" t="str">
        <x:v>2020-12-01_02-279136.pdf</x:v>
      </x:c>
      <x:c r="B97" s="1" t="str">
        <x:v>Bolåneavi</x:v>
      </x:c>
      <x:c r="C97" s="1" t="str">
        <x:v>Ja</x:v>
      </x:c>
      <x:c r="D97" s="1" t="str">
        <x:v>Bolån och aviserad ränta ingår.</x:v>
      </x:c>
      <x:c r="E97" s="23" t="n">
        <x:v>2</x:v>
      </x:c>
      <x:c r="F97" s="39" t="n">
        <x:v>10.8544921875</x:v>
      </x:c>
    </x:row>
    <x:row r="98">
      <x:c r="A98" s="1" t="str">
        <x:v>2021-01-01_02-279136.pdf</x:v>
      </x:c>
      <x:c r="B98" s="1" t="str">
        <x:v>Bolåneavi</x:v>
      </x:c>
      <x:c r="C98" s="1" t="str">
        <x:v>Ja</x:v>
      </x:c>
      <x:c r="D98" s="1" t="str">
        <x:v>Bolån och aviserad ränta ingår.</x:v>
      </x:c>
      <x:c r="E98" s="23" t="n">
        <x:v>2</x:v>
      </x:c>
      <x:c r="F98" s="39" t="n">
        <x:v>10.8466796875</x:v>
      </x:c>
    </x:row>
    <x:row r="99">
      <x:c r="A99" s="1" t="str">
        <x:v>2021-02-01_02-279136.pdf</x:v>
      </x:c>
      <x:c r="B99" s="1" t="str">
        <x:v>Bolåneavi</x:v>
      </x:c>
      <x:c r="C99" s="1" t="str">
        <x:v>Ja</x:v>
      </x:c>
      <x:c r="D99" s="1" t="str">
        <x:v>Bolån och aviserad ränta ingår.</x:v>
      </x:c>
      <x:c r="E99" s="23" t="n">
        <x:v>2</x:v>
      </x:c>
      <x:c r="F99" s="39" t="n">
        <x:v>10.849609375</x:v>
      </x:c>
    </x:row>
    <x:row r="100">
      <x:c r="A100" s="1" t="str">
        <x:v>2021-03-01_02-279136.pdf</x:v>
      </x:c>
      <x:c r="B100" s="1" t="str">
        <x:v>Bolåneavi</x:v>
      </x:c>
      <x:c r="C100" s="1" t="str">
        <x:v>Ja</x:v>
      </x:c>
      <x:c r="D100" s="1" t="str">
        <x:v>Bolån och aviserad ränta ingår.</x:v>
      </x:c>
      <x:c r="E100" s="23" t="n">
        <x:v>2</x:v>
      </x:c>
      <x:c r="F100" s="39" t="n">
        <x:v>10.84375</x:v>
      </x:c>
    </x:row>
    <x:row r="101">
      <x:c r="A101" s="1" t="str">
        <x:v>2021-04-01_02-279136.pdf</x:v>
      </x:c>
      <x:c r="B101" s="1" t="str">
        <x:v>Bolåneavi</x:v>
      </x:c>
      <x:c r="C101" s="1" t="str">
        <x:v>Ja</x:v>
      </x:c>
      <x:c r="D101" s="1" t="str">
        <x:v>Bolån och aviserad ränta ingår.</x:v>
      </x:c>
      <x:c r="E101" s="23" t="n">
        <x:v>2</x:v>
      </x:c>
      <x:c r="F101" s="39" t="n">
        <x:v>10.8408203125</x:v>
      </x:c>
    </x:row>
    <x:row r="102">
      <x:c r="A102" s="1" t="str">
        <x:v>2021-05-01_02-279136.pdf</x:v>
      </x:c>
      <x:c r="B102" s="1" t="str">
        <x:v>Bolåneavi</x:v>
      </x:c>
      <x:c r="C102" s="1" t="str">
        <x:v>Ja</x:v>
      </x:c>
      <x:c r="D102" s="1" t="str">
        <x:v>Bolån och aviserad ränta ingår.</x:v>
      </x:c>
      <x:c r="E102" s="23" t="n">
        <x:v>2</x:v>
      </x:c>
      <x:c r="F102" s="39" t="n">
        <x:v>10.84765625</x:v>
      </x:c>
    </x:row>
    <x:row r="103">
      <x:c r="A103" s="1" t="str">
        <x:v>2021-06-01_02-279136.pdf</x:v>
      </x:c>
      <x:c r="B103" s="1" t="str">
        <x:v>Bolåneavi</x:v>
      </x:c>
      <x:c r="C103" s="1" t="str">
        <x:v>Ja</x:v>
      </x:c>
      <x:c r="D103" s="1" t="str">
        <x:v>Bolån och aviserad ränta ingår.</x:v>
      </x:c>
      <x:c r="E103" s="23" t="n">
        <x:v>2</x:v>
      </x:c>
      <x:c r="F103" s="39" t="n">
        <x:v>10.837890625</x:v>
      </x:c>
    </x:row>
    <x:row r="104">
      <x:c r="A104" s="1" t="str">
        <x:v>2021-07-01_02-279136.pdf</x:v>
      </x:c>
      <x:c r="B104" s="1" t="str">
        <x:v>Bolåneavi</x:v>
      </x:c>
      <x:c r="C104" s="1" t="str">
        <x:v>Ja</x:v>
      </x:c>
      <x:c r="D104" s="1" t="str">
        <x:v>Bolån och aviserad ränta ingår.</x:v>
      </x:c>
      <x:c r="E104" s="23" t="n">
        <x:v>2</x:v>
      </x:c>
      <x:c r="F104" s="39" t="n">
        <x:v>10.841796875</x:v>
      </x:c>
    </x:row>
    <x:row r="105">
      <x:c r="A105" s="1" t="str">
        <x:v>2021-08-01_02-279136.pdf</x:v>
      </x:c>
      <x:c r="B105" s="1" t="str">
        <x:v>Bolåneavi</x:v>
      </x:c>
      <x:c r="C105" s="1" t="str">
        <x:v>Ja</x:v>
      </x:c>
      <x:c r="D105" s="1" t="str">
        <x:v>Bolån och aviserad ränta ingår.</x:v>
      </x:c>
      <x:c r="E105" s="23" t="n">
        <x:v>2</x:v>
      </x:c>
      <x:c r="F105" s="39" t="n">
        <x:v>10.8486328125</x:v>
      </x:c>
    </x:row>
    <x:row r="106">
      <x:c r="A106" s="1" t="str">
        <x:v>2021-09-01_02-279136.pdf</x:v>
      </x:c>
      <x:c r="B106" s="1" t="str">
        <x:v>Bolåneavi</x:v>
      </x:c>
      <x:c r="C106" s="1" t="str">
        <x:v>Ja</x:v>
      </x:c>
      <x:c r="D106" s="1" t="str">
        <x:v>Bolån och aviserad ränta ingår.</x:v>
      </x:c>
      <x:c r="E106" s="23" t="n">
        <x:v>2</x:v>
      </x:c>
      <x:c r="F106" s="39" t="n">
        <x:v>10.8427734375</x:v>
      </x:c>
    </x:row>
    <x:row r="107">
      <x:c r="A107" s="1" t="str">
        <x:v>2021-10-01_02-279136.pdf</x:v>
      </x:c>
      <x:c r="B107" s="1" t="str">
        <x:v>Bolåneavi</x:v>
      </x:c>
      <x:c r="C107" s="1" t="str">
        <x:v>Ja</x:v>
      </x:c>
      <x:c r="D107" s="1" t="str">
        <x:v>Bolån och aviserad ränta ingår.</x:v>
      </x:c>
      <x:c r="E107" s="23" t="n">
        <x:v>2</x:v>
      </x:c>
      <x:c r="F107" s="39" t="n">
        <x:v>10.845703125</x:v>
      </x:c>
    </x:row>
    <x:row r="108">
      <x:c r="A108" s="1" t="str">
        <x:v>2021-11-01_02-279136.pdf</x:v>
      </x:c>
      <x:c r="B108" s="1" t="str">
        <x:v>Bolåneavi</x:v>
      </x:c>
      <x:c r="C108" s="1" t="str">
        <x:v>Ja</x:v>
      </x:c>
      <x:c r="D108" s="1" t="str">
        <x:v>Bolån och aviserad ränta ingår.</x:v>
      </x:c>
      <x:c r="E108" s="23" t="n">
        <x:v>2</x:v>
      </x:c>
      <x:c r="F108" s="39" t="n">
        <x:v>10.8505859375</x:v>
      </x:c>
    </x:row>
    <x:row r="109">
      <x:c r="A109" s="1" t="str">
        <x:v>2021-12-01_02-279136.pdf</x:v>
      </x:c>
      <x:c r="B109" s="1" t="str">
        <x:v>Bolåneavi</x:v>
      </x:c>
      <x:c r="C109" s="1" t="str">
        <x:v>Ja</x:v>
      </x:c>
      <x:c r="D109" s="1" t="str">
        <x:v>Bolån och aviserad ränta ingår.</x:v>
      </x:c>
      <x:c r="E109" s="23" t="n">
        <x:v>2</x:v>
      </x:c>
      <x:c r="F109" s="39" t="n">
        <x:v>10.841796875</x:v>
      </x:c>
    </x:row>
    <x:row r="110">
      <x:c r="A110" s="1" t="str">
        <x:v>2022-01-01_02-279136.pdf</x:v>
      </x:c>
      <x:c r="B110" s="1" t="str">
        <x:v>Bolåneavi</x:v>
      </x:c>
      <x:c r="C110" s="1" t="str">
        <x:v>Ja</x:v>
      </x:c>
      <x:c r="D110" s="1" t="str">
        <x:v>Bolån och aviserad ränta ingår.</x:v>
      </x:c>
      <x:c r="E110" s="23" t="n">
        <x:v>2</x:v>
      </x:c>
      <x:c r="F110" s="39" t="n">
        <x:v>10.8408203125</x:v>
      </x:c>
    </x:row>
    <x:row r="111">
      <x:c r="A111" s="1" t="str">
        <x:v>2022-02-01_02-279136.pdf</x:v>
      </x:c>
      <x:c r="B111" s="1" t="str">
        <x:v>Bolåneavi</x:v>
      </x:c>
      <x:c r="C111" s="1" t="str">
        <x:v>Ja</x:v>
      </x:c>
      <x:c r="D111" s="1" t="str">
        <x:v>Bolån och aviserad ränta ingår.</x:v>
      </x:c>
      <x:c r="E111" s="23" t="n">
        <x:v>2</x:v>
      </x:c>
      <x:c r="F111" s="39" t="n">
        <x:v>10.8466796875</x:v>
      </x:c>
    </x:row>
    <x:row r="112">
      <x:c r="A112" s="1" t="str">
        <x:v>2022-03-01_02-279136.pdf</x:v>
      </x:c>
      <x:c r="B112" s="1" t="str">
        <x:v>Bolåneavi</x:v>
      </x:c>
      <x:c r="C112" s="1" t="str">
        <x:v>Ja</x:v>
      </x:c>
      <x:c r="D112" s="1" t="str">
        <x:v>Bolån och aviserad ränta ingår.</x:v>
      </x:c>
      <x:c r="E112" s="23" t="n">
        <x:v>2</x:v>
      </x:c>
      <x:c r="F112" s="39" t="n">
        <x:v>10.8408203125</x:v>
      </x:c>
    </x:row>
    <x:row r="113">
      <x:c r="A113" s="1" t="str">
        <x:v>2022-04-01_02-279136.pdf</x:v>
      </x:c>
      <x:c r="B113" s="1" t="str">
        <x:v>Bolåneavi</x:v>
      </x:c>
      <x:c r="C113" s="1" t="str">
        <x:v>Ja</x:v>
      </x:c>
      <x:c r="D113" s="1" t="str">
        <x:v>Bolån och aviserad ränta ingår.</x:v>
      </x:c>
      <x:c r="E113" s="23" t="n">
        <x:v>2</x:v>
      </x:c>
      <x:c r="F113" s="39" t="n">
        <x:v>10.845703125</x:v>
      </x:c>
    </x:row>
    <x:row r="114">
      <x:c r="A114" s="1" t="str">
        <x:v>2022-05-01_02-279136.pdf</x:v>
      </x:c>
      <x:c r="B114" s="1" t="str">
        <x:v>Bolåneavi</x:v>
      </x:c>
      <x:c r="C114" s="1" t="str">
        <x:v>Ja</x:v>
      </x:c>
      <x:c r="D114" s="1" t="str">
        <x:v>Bolån och aviserad ränta ingår.</x:v>
      </x:c>
      <x:c r="E114" s="23" t="n">
        <x:v>2</x:v>
      </x:c>
      <x:c r="F114" s="39" t="n">
        <x:v>10.8486328125</x:v>
      </x:c>
    </x:row>
    <x:row r="115">
      <x:c r="A115" s="1" t="str">
        <x:v>2022-06-01_02-279136.pdf</x:v>
      </x:c>
      <x:c r="B115" s="1" t="str">
        <x:v>Bolåneavi</x:v>
      </x:c>
      <x:c r="C115" s="1" t="str">
        <x:v>Ja</x:v>
      </x:c>
      <x:c r="D115" s="1" t="str">
        <x:v>Bolån och aviserad ränta ingår.</x:v>
      </x:c>
      <x:c r="E115" s="23" t="n">
        <x:v>2</x:v>
      </x:c>
      <x:c r="F115" s="39" t="n">
        <x:v>10.8447265625</x:v>
      </x:c>
    </x:row>
    <x:row r="116">
      <x:c r="A116" s="1" t="str">
        <x:v>2022-07-01_02-279136.pdf</x:v>
      </x:c>
      <x:c r="B116" s="1" t="str">
        <x:v>Bolåneavi</x:v>
      </x:c>
      <x:c r="C116" s="1" t="str">
        <x:v>Ja</x:v>
      </x:c>
      <x:c r="D116" s="1" t="str">
        <x:v>Bolån och aviserad ränta ingår.</x:v>
      </x:c>
      <x:c r="E116" s="23" t="n">
        <x:v>2</x:v>
      </x:c>
      <x:c r="F116" s="39" t="n">
        <x:v>10.8486328125</x:v>
      </x:c>
    </x:row>
    <x:row r="117">
      <x:c r="A117" s="1" t="str">
        <x:v>2022-08-01_02-279136.pdf</x:v>
      </x:c>
      <x:c r="B117" s="1" t="str">
        <x:v>Bolåneavi</x:v>
      </x:c>
      <x:c r="C117" s="1" t="str">
        <x:v>Ja</x:v>
      </x:c>
      <x:c r="D117" s="1" t="str">
        <x:v>Bolån och aviserad ränta ingår.</x:v>
      </x:c>
      <x:c r="E117" s="23" t="n">
        <x:v>2</x:v>
      </x:c>
      <x:c r="F117" s="39" t="n">
        <x:v>10.849609375</x:v>
      </x:c>
    </x:row>
    <x:row r="118">
      <x:c r="A118" s="1" t="str">
        <x:v>2022-09-01_02-279136.pdf</x:v>
      </x:c>
      <x:c r="B118" s="1" t="str">
        <x:v>Bolåneavi</x:v>
      </x:c>
      <x:c r="C118" s="1" t="str">
        <x:v>Ja</x:v>
      </x:c>
      <x:c r="D118" s="1" t="str">
        <x:v>Bolån och aviserad ränta ingår.</x:v>
      </x:c>
      <x:c r="E118" s="23" t="n">
        <x:v>2</x:v>
      </x:c>
      <x:c r="F118" s="39" t="n">
        <x:v>10.84765625</x:v>
      </x:c>
    </x:row>
    <x:row r="119">
      <x:c r="A119" s="1" t="str">
        <x:v>2022-10-01_02-279136.pdf</x:v>
      </x:c>
      <x:c r="B119" s="1" t="str">
        <x:v>Bolåneavi</x:v>
      </x:c>
      <x:c r="C119" s="1" t="str">
        <x:v>Ja</x:v>
      </x:c>
      <x:c r="D119" s="1" t="str">
        <x:v>Bolån och aviserad ränta ingår.</x:v>
      </x:c>
      <x:c r="E119" s="23" t="n">
        <x:v>2</x:v>
      </x:c>
      <x:c r="F119" s="39" t="n">
        <x:v>22.736328125</x:v>
      </x:c>
    </x:row>
    <x:row r="120">
      <x:c r="A120" s="1" t="str">
        <x:v>2022-11-01_02-279136.pdf</x:v>
      </x:c>
      <x:c r="B120" s="1" t="str">
        <x:v>Bolåneavi</x:v>
      </x:c>
      <x:c r="C120" s="1" t="str">
        <x:v>Ja</x:v>
      </x:c>
      <x:c r="D120" s="1" t="str">
        <x:v>Bolån och aviserad ränta ingår.</x:v>
      </x:c>
      <x:c r="E120" s="23" t="n">
        <x:v>2</x:v>
      </x:c>
      <x:c r="F120" s="39" t="n">
        <x:v>22.7421875</x:v>
      </x:c>
    </x:row>
    <x:row r="121">
      <x:c r="A121" s="1" t="str">
        <x:v>2022-12-01_02-279136.pdf</x:v>
      </x:c>
      <x:c r="B121" s="1" t="str">
        <x:v>Bolåneavi</x:v>
      </x:c>
      <x:c r="C121" s="1" t="str">
        <x:v>Ja</x:v>
      </x:c>
      <x:c r="D121" s="1" t="str">
        <x:v>Bolån och aviserad ränta ingår.</x:v>
      </x:c>
      <x:c r="E121" s="23" t="n">
        <x:v>2</x:v>
      </x:c>
      <x:c r="F121" s="39" t="n">
        <x:v>22.7421875</x:v>
      </x:c>
    </x:row>
    <x:row r="122">
      <x:c r="A122" s="1" t="str">
        <x:v>2023-01-01_02-279136.pdf</x:v>
      </x:c>
      <x:c r="B122" s="1" t="str">
        <x:v>Bolåneavi</x:v>
      </x:c>
      <x:c r="C122" s="1" t="str">
        <x:v>Ja</x:v>
      </x:c>
      <x:c r="D122" s="1" t="str">
        <x:v>Bolån och aviserad ränta ingår.</x:v>
      </x:c>
      <x:c r="E122" s="23" t="n">
        <x:v>2</x:v>
      </x:c>
      <x:c r="F122" s="39" t="n">
        <x:v>22.7490234375</x:v>
      </x:c>
    </x:row>
    <x:row r="123">
      <x:c r="A123" s="1" t="str">
        <x:v>2023-02-01_02-279136.pdf</x:v>
      </x:c>
      <x:c r="B123" s="1" t="str">
        <x:v>Bolåneavi</x:v>
      </x:c>
      <x:c r="C123" s="1" t="str">
        <x:v>Ja</x:v>
      </x:c>
      <x:c r="D123" s="1" t="str">
        <x:v>Bolån och aviserad ränta ingår.</x:v>
      </x:c>
      <x:c r="E123" s="23" t="n">
        <x:v>2</x:v>
      </x:c>
      <x:c r="F123" s="39" t="n">
        <x:v>22.740234375</x:v>
      </x:c>
    </x:row>
    <x:row r="124">
      <x:c r="A124" s="1" t="str">
        <x:v>2023-03-01_02-279136.pdf</x:v>
      </x:c>
      <x:c r="B124" s="1" t="str">
        <x:v>Bolåneavi</x:v>
      </x:c>
      <x:c r="C124" s="1" t="str">
        <x:v>Ja</x:v>
      </x:c>
      <x:c r="D124" s="1" t="str">
        <x:v>Bolån och aviserad ränta ingår.</x:v>
      </x:c>
      <x:c r="E124" s="23" t="n">
        <x:v>2</x:v>
      </x:c>
      <x:c r="F124" s="39" t="n">
        <x:v>22.7431640625</x:v>
      </x:c>
    </x:row>
    <x:row r="125">
      <x:c r="A125" s="1" t="str">
        <x:v>2023-04-01_02-279136.pdf</x:v>
      </x:c>
      <x:c r="B125" s="1" t="str">
        <x:v>Bolåneavi</x:v>
      </x:c>
      <x:c r="C125" s="1" t="str">
        <x:v>Ja</x:v>
      </x:c>
      <x:c r="D125" s="1" t="str">
        <x:v>Bolån och aviserad ränta ingår.</x:v>
      </x:c>
      <x:c r="E125" s="23" t="n">
        <x:v>2</x:v>
      </x:c>
      <x:c r="F125" s="39" t="n">
        <x:v>22.74609375</x:v>
      </x:c>
    </x:row>
    <x:row r="126">
      <x:c r="A126" s="1" t="str">
        <x:v>2023-05-01_02-279136.pdf</x:v>
      </x:c>
      <x:c r="B126" s="1" t="str">
        <x:v>Bolåneavi</x:v>
      </x:c>
      <x:c r="C126" s="1" t="str">
        <x:v>Ja</x:v>
      </x:c>
      <x:c r="D126" s="1" t="str">
        <x:v>Bolån och aviserad ränta ingår.</x:v>
      </x:c>
      <x:c r="E126" s="23" t="n">
        <x:v>2</x:v>
      </x:c>
      <x:c r="F126" s="39" t="n">
        <x:v>22.73828125</x:v>
      </x:c>
    </x:row>
    <x:row r="127">
      <x:c r="A127" s="1" t="str">
        <x:v>2023-06-01_02-279136.pdf</x:v>
      </x:c>
      <x:c r="B127" s="1" t="str">
        <x:v>Bolåneavi</x:v>
      </x:c>
      <x:c r="C127" s="1" t="str">
        <x:v>Ja</x:v>
      </x:c>
      <x:c r="D127" s="1" t="str">
        <x:v>Bolån och aviserad ränta ingår.</x:v>
      </x:c>
      <x:c r="E127" s="23" t="n">
        <x:v>2</x:v>
      </x:c>
      <x:c r="F127" s="39" t="n">
        <x:v>22.7431640625</x:v>
      </x:c>
    </x:row>
    <x:row r="128">
      <x:c r="A128" s="1" t="str">
        <x:v>2023-07-01_02-279136.pdf</x:v>
      </x:c>
      <x:c r="B128" s="1" t="str">
        <x:v>Bolåneavi</x:v>
      </x:c>
      <x:c r="C128" s="1" t="str">
        <x:v>Ja</x:v>
      </x:c>
      <x:c r="D128" s="1" t="str">
        <x:v>Bolån och aviserad ränta ingår.</x:v>
      </x:c>
      <x:c r="E128" s="23" t="n">
        <x:v>2</x:v>
      </x:c>
      <x:c r="F128" s="39" t="n">
        <x:v>22.7470703125</x:v>
      </x:c>
    </x:row>
    <x:row r="129">
      <x:c r="A129" s="1" t="str">
        <x:v>2023-08-01_02-279136.pdf</x:v>
      </x:c>
      <x:c r="B129" s="1" t="str">
        <x:v>Bolåneavi</x:v>
      </x:c>
      <x:c r="C129" s="1" t="str">
        <x:v>Ja</x:v>
      </x:c>
      <x:c r="D129" s="1" t="str">
        <x:v>Bolån och aviserad ränta ingår.</x:v>
      </x:c>
      <x:c r="E129" s="23" t="n">
        <x:v>2</x:v>
      </x:c>
      <x:c r="F129" s="39" t="n">
        <x:v>22.736328125</x:v>
      </x:c>
    </x:row>
    <x:row r="130">
      <x:c r="A130" s="1" t="str">
        <x:v>2023-09-01_02-279136.pdf</x:v>
      </x:c>
      <x:c r="B130" s="1" t="str">
        <x:v>Bolåneavi</x:v>
      </x:c>
      <x:c r="C130" s="1" t="str">
        <x:v>Ja</x:v>
      </x:c>
      <x:c r="D130" s="1" t="str">
        <x:v>Bolån och aviserad ränta ingår.</x:v>
      </x:c>
      <x:c r="E130" s="23" t="n">
        <x:v>2</x:v>
      </x:c>
      <x:c r="F130" s="39" t="n">
        <x:v>22.73828125</x:v>
      </x:c>
    </x:row>
    <x:row r="131">
      <x:c r="A131" s="1" t="str">
        <x:v>2023-10-01_02-279136.pdf</x:v>
      </x:c>
      <x:c r="B131" s="1" t="str">
        <x:v>Bolåneavi</x:v>
      </x:c>
      <x:c r="C131" s="1" t="str">
        <x:v>Ja</x:v>
      </x:c>
      <x:c r="D131" s="1" t="str">
        <x:v>Bolån och aviserad ränta ingår.</x:v>
      </x:c>
      <x:c r="E131" s="23" t="n">
        <x:v>2</x:v>
      </x:c>
      <x:c r="F131" s="39" t="n">
        <x:v>22.744140625</x:v>
      </x:c>
    </x:row>
    <x:row r="132">
      <x:c r="A132" s="1" t="str">
        <x:v>2023-11-01_02-279136.pdf</x:v>
      </x:c>
      <x:c r="B132" s="1" t="str">
        <x:v>Bolåneavi</x:v>
      </x:c>
      <x:c r="C132" s="1" t="str">
        <x:v>Ja</x:v>
      </x:c>
      <x:c r="D132" s="1" t="str">
        <x:v>Bolån och aviserad ränta ingår.</x:v>
      </x:c>
      <x:c r="E132" s="23" t="n">
        <x:v>2</x:v>
      </x:c>
      <x:c r="F132" s="39" t="n">
        <x:v>22.7470703125</x:v>
      </x:c>
    </x:row>
    <x:row r="133">
      <x:c r="A133" s="1" t="str">
        <x:v>2023-12-01_02-279136.pdf</x:v>
      </x:c>
      <x:c r="B133" s="1" t="str">
        <x:v>Bolåneavi</x:v>
      </x:c>
      <x:c r="C133" s="1" t="str">
        <x:v>Ja</x:v>
      </x:c>
      <x:c r="D133" s="1" t="str">
        <x:v>Bolån och aviserad ränta ingår.</x:v>
      </x:c>
      <x:c r="E133" s="23" t="n">
        <x:v>2</x:v>
      </x:c>
      <x:c r="F133" s="39" t="n">
        <x:v>22.7373046875</x:v>
      </x:c>
    </x:row>
    <x:row r="134">
      <x:c r="A134" s="1" t="str">
        <x:v>2024-01-01_02-279136.pdf</x:v>
      </x:c>
      <x:c r="B134" s="1" t="str">
        <x:v>Bolåneavi</x:v>
      </x:c>
      <x:c r="C134" s="1" t="str">
        <x:v>Ja</x:v>
      </x:c>
      <x:c r="D134" s="1" t="str">
        <x:v>Bolån och aviserad ränta ingår.</x:v>
      </x:c>
      <x:c r="E134" s="23" t="n">
        <x:v>2</x:v>
      </x:c>
      <x:c r="F134" s="39" t="n">
        <x:v>22.74609375</x:v>
      </x:c>
    </x:row>
    <x:row r="135">
      <x:c r="A135" s="1" t="str">
        <x:v>2024-02-01_02-279136.pdf</x:v>
      </x:c>
      <x:c r="B135" s="1" t="str">
        <x:v>Bolåneavi</x:v>
      </x:c>
      <x:c r="C135" s="1" t="str">
        <x:v>Ja</x:v>
      </x:c>
      <x:c r="D135" s="1" t="str">
        <x:v>Bolån och aviserad ränta ingår.</x:v>
      </x:c>
      <x:c r="E135" s="23" t="n">
        <x:v>2</x:v>
      </x:c>
      <x:c r="F135" s="39" t="n">
        <x:v>22.7373046875</x:v>
      </x:c>
    </x:row>
    <x:row r="136">
      <x:c r="A136" s="1" t="str">
        <x:v>2024-03-01_02-279136.pdf</x:v>
      </x:c>
      <x:c r="B136" s="1" t="str">
        <x:v>Bolåneavi</x:v>
      </x:c>
      <x:c r="C136" s="1" t="str">
        <x:v>Ja</x:v>
      </x:c>
      <x:c r="D136" s="1" t="str">
        <x:v>Bolån och aviserad ränta ingår.</x:v>
      </x:c>
      <x:c r="E136" s="23" t="n">
        <x:v>2</x:v>
      </x:c>
      <x:c r="F136" s="39" t="n">
        <x:v>22.73828125</x:v>
      </x:c>
    </x:row>
    <x:row r="137">
      <x:c r="A137" s="1" t="str">
        <x:v>2024-04-01_02-279136.pdf</x:v>
      </x:c>
      <x:c r="B137" s="1" t="str">
        <x:v>Bolåneavi</x:v>
      </x:c>
      <x:c r="C137" s="1" t="str">
        <x:v>Ja</x:v>
      </x:c>
      <x:c r="D137" s="1" t="str">
        <x:v>Bolån och aviserad ränta ingår.</x:v>
      </x:c>
      <x:c r="E137" s="23" t="n">
        <x:v>2</x:v>
      </x:c>
      <x:c r="F137" s="39" t="n">
        <x:v>22.7431640625</x:v>
      </x:c>
    </x:row>
    <x:row r="138">
      <x:c r="A138" s="1" t="str">
        <x:v>2024-05-01_02-279136.pdf</x:v>
      </x:c>
      <x:c r="B138" s="1" t="str">
        <x:v>Bolåneavi</x:v>
      </x:c>
      <x:c r="C138" s="1" t="str">
        <x:v>Ja</x:v>
      </x:c>
      <x:c r="D138" s="1" t="str">
        <x:v>Bolån och aviserad ränta ingår.</x:v>
      </x:c>
      <x:c r="E138" s="23" t="n">
        <x:v>2</x:v>
      </x:c>
      <x:c r="F138" s="39" t="n">
        <x:v>22.7392578125</x:v>
      </x:c>
    </x:row>
    <x:row r="139">
      <x:c r="A139" s="1" t="str">
        <x:v>2024-06-01_02-279136.pdf</x:v>
      </x:c>
      <x:c r="B139" s="1" t="str">
        <x:v>Bolåneavi</x:v>
      </x:c>
      <x:c r="C139" s="1" t="str">
        <x:v>Ja</x:v>
      </x:c>
      <x:c r="D139" s="1" t="str">
        <x:v>Bolån och aviserad ränta ingår.</x:v>
      </x:c>
      <x:c r="E139" s="23" t="n">
        <x:v>2</x:v>
      </x:c>
      <x:c r="F139" s="39" t="n">
        <x:v>22.740234375</x:v>
      </x:c>
    </x:row>
    <x:row r="140">
      <x:c r="A140" s="1" t="str">
        <x:v>2024-07-01_02-279136.pdf</x:v>
      </x:c>
      <x:c r="B140" s="1" t="str">
        <x:v>Bolåneavi</x:v>
      </x:c>
      <x:c r="C140" s="1" t="str">
        <x:v>Ja</x:v>
      </x:c>
      <x:c r="D140" s="1" t="str">
        <x:v>Bolån och aviserad ränta ingår.</x:v>
      </x:c>
      <x:c r="E140" s="23" t="n">
        <x:v>2</x:v>
      </x:c>
      <x:c r="F140" s="39" t="n">
        <x:v>22.736328125</x:v>
      </x:c>
    </x:row>
    <x:row r="141">
      <x:c r="A141" s="1" t="str">
        <x:v>2024-08-01_02-279136.pdf</x:v>
      </x:c>
      <x:c r="B141" s="1" t="str">
        <x:v>Bolåneavi</x:v>
      </x:c>
      <x:c r="C141" s="1" t="str">
        <x:v>Ja</x:v>
      </x:c>
      <x:c r="D141" s="1" t="str">
        <x:v>Bolån och aviserad ränta ingår.</x:v>
      </x:c>
      <x:c r="E141" s="23" t="n">
        <x:v>2</x:v>
      </x:c>
      <x:c r="F141" s="39" t="n">
        <x:v>22.744140625</x:v>
      </x:c>
    </x:row>
    <x:row r="142">
      <x:c r="A142" s="1" t="str">
        <x:v>2024-09-01_02-279136.pdf</x:v>
      </x:c>
      <x:c r="B142" s="1" t="str">
        <x:v>Bolåneavi</x:v>
      </x:c>
      <x:c r="C142" s="1" t="str">
        <x:v>Ja</x:v>
      </x:c>
      <x:c r="D142" s="1" t="str">
        <x:v>Bolån och aviserad ränta ingår.</x:v>
      </x:c>
      <x:c r="E142" s="23" t="n">
        <x:v>2</x:v>
      </x:c>
      <x:c r="F142" s="39" t="n">
        <x:v>22.7431640625</x:v>
      </x:c>
    </x:row>
    <x:row r="143">
      <x:c r="A143" s="1" t="str">
        <x:v>2024-10-01_02-279136.pdf</x:v>
      </x:c>
      <x:c r="B143" s="1" t="str">
        <x:v>Bolåneavi</x:v>
      </x:c>
      <x:c r="C143" s="1" t="str">
        <x:v>Ja</x:v>
      </x:c>
      <x:c r="D143" s="1" t="str">
        <x:v>Bolån och aviserad ränta ingår.</x:v>
      </x:c>
      <x:c r="E143" s="23" t="n">
        <x:v>2</x:v>
      </x:c>
      <x:c r="F143" s="39" t="n">
        <x:v>22.7412109375</x:v>
      </x:c>
    </x:row>
    <x:row r="144">
      <x:c r="A144" s="1" t="str">
        <x:v>2024-11-01_02-279136.pdf</x:v>
      </x:c>
      <x:c r="B144" s="1" t="str">
        <x:v>Bolåneavi</x:v>
      </x:c>
      <x:c r="C144" s="1" t="str">
        <x:v>Ja</x:v>
      </x:c>
      <x:c r="D144" s="1" t="str">
        <x:v>Bolån och aviserad ränta ingår.</x:v>
      </x:c>
      <x:c r="E144" s="23" t="n">
        <x:v>2</x:v>
      </x:c>
      <x:c r="F144" s="39" t="n">
        <x:v>22.7470703125</x:v>
      </x:c>
    </x:row>
    <x:row r="145">
      <x:c r="A145" s="1" t="str">
        <x:v>2024-12-01_02-279136.pdf</x:v>
      </x:c>
      <x:c r="B145" s="1" t="str">
        <x:v>Bolåneavi</x:v>
      </x:c>
      <x:c r="C145" s="1" t="str">
        <x:v>Ja</x:v>
      </x:c>
      <x:c r="D145" s="1" t="str">
        <x:v>Bolån och aviserad ränta ingår.</x:v>
      </x:c>
      <x:c r="E145" s="23" t="n">
        <x:v>2</x:v>
      </x:c>
      <x:c r="F145" s="39" t="n">
        <x:v>22.7412109375</x:v>
      </x:c>
    </x:row>
    <x:row r="146">
      <x:c r="A146" s="1" t="str">
        <x:v>2025-01-01_02-279136.pdf</x:v>
      </x:c>
      <x:c r="B146" s="1" t="str">
        <x:v>Bolåneavi</x:v>
      </x:c>
      <x:c r="C146" s="1" t="str">
        <x:v>Ja</x:v>
      </x:c>
      <x:c r="D146" s="1" t="str">
        <x:v>Bolån och aviserad ränta ingår.</x:v>
      </x:c>
      <x:c r="E146" s="23" t="n">
        <x:v>2</x:v>
      </x:c>
      <x:c r="F146" s="39" t="n">
        <x:v>22.740234375</x:v>
      </x:c>
    </x:row>
    <x:row r="147">
      <x:c r="A147" s="1" t="str">
        <x:v>2025-02-01_02-279136.pdf</x:v>
      </x:c>
      <x:c r="B147" s="1" t="str">
        <x:v>Bolåneavi</x:v>
      </x:c>
      <x:c r="C147" s="1" t="str">
        <x:v>Ja</x:v>
      </x:c>
      <x:c r="D147" s="1" t="str">
        <x:v>Bolån och aviserad ränta ingår.</x:v>
      </x:c>
      <x:c r="E147" s="23" t="n">
        <x:v>2</x:v>
      </x:c>
      <x:c r="F147" s="39" t="n">
        <x:v>22.744140625</x:v>
      </x:c>
    </x:row>
    <x:row r="148">
      <x:c r="A148" s="1" t="str">
        <x:v>2025-03-01_02-279136.pdf</x:v>
      </x:c>
      <x:c r="B148" s="1" t="str">
        <x:v>Bolåneavi</x:v>
      </x:c>
      <x:c r="C148" s="1" t="str">
        <x:v>Ja</x:v>
      </x:c>
      <x:c r="D148" s="1" t="str">
        <x:v>Bolån och aviserad ränta ingår.</x:v>
      </x:c>
      <x:c r="E148" s="23" t="n">
        <x:v>2</x:v>
      </x:c>
      <x:c r="F148" s="39" t="n">
        <x:v>22.734375</x:v>
      </x:c>
    </x:row>
    <x:row r="149">
      <x:c r="A149" s="1" t="str">
        <x:v>3_faktura-526718684628.pdf</x:v>
      </x:c>
      <x:c r="B149" s="1" t="str">
        <x:v>Telefonfaktura med delbetalning</x:v>
      </x:c>
      <x:c r="C149" s="1" t="str">
        <x:v>Ja</x:v>
      </x:c>
      <x:c r="D149" s="1" t="str">
        <x:v>Endast delbetalningsraden ingår.</x:v>
      </x:c>
      <x:c r="E149" s="23" t="n">
        <x:v>7</x:v>
      </x:c>
      <x:c r="F149" s="39" t="n">
        <x:v>116.5732421875</x:v>
      </x:c>
    </x:row>
    <x:row r="150">
      <x:c r="A150" s="1" t="str">
        <x:v>3_faktura-527417754324.pdf</x:v>
      </x:c>
      <x:c r="B150" s="1" t="str">
        <x:v>Telefonfaktura med delbetalning</x:v>
      </x:c>
      <x:c r="C150" s="1" t="str">
        <x:v>Ja</x:v>
      </x:c>
      <x:c r="D150" s="1" t="str">
        <x:v>Endast delbetalningsraden ingår.</x:v>
      </x:c>
      <x:c r="E150" s="23" t="n">
        <x:v>18</x:v>
      </x:c>
      <x:c r="F150" s="39" t="n">
        <x:v>175.587890625</x:v>
      </x:c>
    </x:row>
    <x:row r="151">
      <x:c r="A151" s="1" t="str">
        <x:v>KKHFaktura250222.pdf</x:v>
      </x:c>
      <x:c r="B151" s="1" t="str">
        <x:v>Utställd faktura</x:v>
      </x:c>
      <x:c r="C151" s="1" t="str">
        <x:v>Nej</x:v>
      </x:c>
      <x:c r="D151" s="1" t="str">
        <x:v>Fordran/intäkt, inte ett lån.</x:v>
      </x:c>
      <x:c r="E151" s="23" t="n">
        <x:v>1</x:v>
      </x:c>
      <x:c r="F151" s="39" t="n">
        <x:v>97.1708984375</x:v>
      </x:c>
    </x:row>
    <x:row r="152">
      <x:c r="A152" s="1" t="str">
        <x:v>one_40370470.pdf</x:v>
      </x:c>
      <x:c r="B152" s="1" t="str">
        <x:v>Vanlig faktura</x:v>
      </x:c>
      <x:c r="C152" s="1" t="str">
        <x:v>Nej</x:v>
      </x:c>
      <x:c r="D152" s="1" t="str">
        <x:v>Ingen låne- eller delbetalningsrad hittades.</x:v>
      </x:c>
      <x:c r="E152" s="23" t="n">
        <x:v>1</x:v>
      </x:c>
      <x:c r="F152" s="39" t="n">
        <x:v>48.6923828125</x:v>
      </x:c>
    </x:row>
    <x:row r="153">
      <x:c r="A153" s="1" t="str">
        <x:v>VisFaktura250222.pdf</x:v>
      </x:c>
      <x:c r="B153" s="1" t="str">
        <x:v>Utställd faktura</x:v>
      </x:c>
      <x:c r="C153" s="1" t="str">
        <x:v>Nej</x:v>
      </x:c>
      <x:c r="D153" s="1" t="str">
        <x:v>Fordran/intäkt, inte ett lån.</x:v>
      </x:c>
      <x:c r="E153" s="23" t="n">
        <x:v>1</x:v>
      </x:c>
      <x:c r="F153" s="39" t="n">
        <x:v>96.9677734375</x:v>
      </x:c>
    </x:row>
    <x:row r="154">
      <x:c r="A154" s="1" t="str">
        <x:v>VisFaktura251212.pdf</x:v>
      </x:c>
      <x:c r="B154" s="1" t="str">
        <x:v>Utställd faktura</x:v>
      </x:c>
      <x:c r="C154" s="1" t="str">
        <x:v>Nej</x:v>
      </x:c>
      <x:c r="D154" s="1" t="str">
        <x:v>Fordran/intäkt, inte ett lån.</x:v>
      </x:c>
      <x:c r="E154" s="23" t="n">
        <x:v>1</x:v>
      </x:c>
      <x:c r="F154" s="39" t="n">
        <x:v>98.240234375</x:v>
      </x:c>
    </x:row>
    <x:row r="155">
      <x:c r="A155" s="1"/>
      <x:c r="B155" s="1"/>
      <x:c r="C155" s="1"/>
      <x:c r="D155" s="1"/>
      <x:c r="E155" s="1"/>
      <x:c r="F155" s="1"/>
    </x:row>
    <x:row r="156">
      <x:c r="A156" s="1"/>
      <x:c r="B156" s="1"/>
      <x:c r="C156" s="1"/>
      <x:c r="D156" s="1"/>
      <x:c r="E156" s="1"/>
      <x:c r="F156" s="1"/>
    </x:row>
    <x:row r="157">
      <x:c r="A157" s="1"/>
      <x:c r="B157" s="1"/>
      <x:c r="C157" s="1"/>
      <x:c r="D157" s="1"/>
      <x:c r="E157" s="1"/>
      <x:c r="F157" s="1"/>
    </x:row>
    <x:row r="158">
      <x:c r="A158" s="1"/>
      <x:c r="B158" s="1"/>
      <x:c r="C158" s="1"/>
      <x:c r="D158" s="1"/>
      <x:c r="E158" s="1"/>
      <x:c r="F158" s="1"/>
    </x:row>
    <x:row r="159">
      <x:c r="A159" s="1"/>
      <x:c r="B159" s="1"/>
      <x:c r="C159" s="1"/>
      <x:c r="D159" s="1"/>
      <x:c r="E159" s="1"/>
      <x:c r="F159" s="1"/>
    </x:row>
    <x:row r="160">
      <x:c r="A160" s="1"/>
      <x:c r="B160" s="1"/>
      <x:c r="C160" s="1"/>
      <x:c r="D160" s="1"/>
      <x:c r="E160" s="1"/>
      <x:c r="F160" s="1"/>
    </x:row>
    <x:row r="161">
      <x:c r="A161" s="1"/>
      <x:c r="B161" s="1"/>
      <x:c r="C161" s="1"/>
      <x:c r="D161" s="1"/>
      <x:c r="E161" s="1"/>
      <x:c r="F161" s="1"/>
    </x:row>
    <x:row r="162">
      <x:c r="A162" s="1"/>
      <x:c r="B162" s="1"/>
      <x:c r="C162" s="1"/>
      <x:c r="D162" s="1"/>
      <x:c r="E162" s="1"/>
      <x:c r="F162" s="1"/>
    </x:row>
    <x:row r="163">
      <x:c r="A163" s="1"/>
      <x:c r="B163" s="1"/>
      <x:c r="C163" s="1"/>
      <x:c r="D163" s="1"/>
      <x:c r="E163" s="1"/>
      <x:c r="F163" s="1"/>
    </x:row>
    <x:row r="164">
      <x:c r="A164" s="1"/>
      <x:c r="B164" s="1"/>
      <x:c r="C164" s="1"/>
      <x:c r="D164" s="1"/>
      <x:c r="E164" s="1"/>
      <x:c r="F164" s="1"/>
    </x:row>
    <x:row r="165">
      <x:c r="A165" s="1"/>
      <x:c r="B165" s="1"/>
      <x:c r="C165" s="1"/>
      <x:c r="D165" s="1"/>
      <x:c r="E165" s="1"/>
      <x:c r="F165" s="1"/>
    </x:row>
    <x:row r="166">
      <x:c r="A166" s="1"/>
      <x:c r="B166" s="1"/>
      <x:c r="C166" s="1"/>
      <x:c r="D166" s="1"/>
      <x:c r="E166" s="1"/>
      <x:c r="F166" s="1"/>
    </x:row>
    <x:row r="167">
      <x:c r="A167" s="1"/>
      <x:c r="B167" s="1"/>
      <x:c r="C167" s="1"/>
      <x:c r="D167" s="1"/>
      <x:c r="E167" s="1"/>
      <x:c r="F167" s="1"/>
    </x:row>
    <x:row r="168">
      <x:c r="A168" s="1"/>
      <x:c r="B168" s="1"/>
      <x:c r="C168" s="1"/>
      <x:c r="D168" s="1"/>
      <x:c r="E168" s="1"/>
      <x:c r="F168" s="1"/>
    </x:row>
    <x:row r="169">
      <x:c r="A169" s="1"/>
      <x:c r="B169" s="1"/>
      <x:c r="C169" s="1"/>
      <x:c r="D169" s="1"/>
      <x:c r="E169" s="1"/>
      <x:c r="F169" s="1"/>
    </x:row>
    <x:row r="170">
      <x:c r="A170" s="1"/>
      <x:c r="B170" s="1"/>
      <x:c r="C170" s="1"/>
      <x:c r="D170" s="1"/>
      <x:c r="E170" s="1"/>
      <x:c r="F170" s="1"/>
    </x:row>
    <x:row r="171">
      <x:c r="A171" s="1"/>
      <x:c r="B171" s="1"/>
      <x:c r="C171" s="1"/>
      <x:c r="D171" s="1"/>
      <x:c r="E171" s="1"/>
      <x:c r="F171" s="1"/>
    </x:row>
    <x:row r="172">
      <x:c r="A172" s="1"/>
      <x:c r="B172" s="1"/>
      <x:c r="C172" s="1"/>
      <x:c r="D172" s="1"/>
      <x:c r="E172" s="1"/>
      <x:c r="F172" s="1"/>
    </x:row>
    <x:row r="173">
      <x:c r="A173" s="1"/>
      <x:c r="B173" s="1"/>
      <x:c r="C173" s="1"/>
      <x:c r="D173" s="1"/>
      <x:c r="E173" s="1"/>
      <x:c r="F173" s="1"/>
    </x:row>
    <x:row r="174">
      <x:c r="A174" s="1"/>
      <x:c r="B174" s="1"/>
      <x:c r="C174" s="1"/>
      <x:c r="D174" s="1"/>
      <x:c r="E174" s="1"/>
      <x:c r="F174" s="1"/>
    </x:row>
    <x:row r="175">
      <x:c r="A175" s="1"/>
      <x:c r="B175" s="1"/>
      <x:c r="C175" s="1"/>
      <x:c r="D175" s="1"/>
      <x:c r="E175" s="1"/>
      <x:c r="F175" s="1"/>
    </x:row>
    <x:row r="176">
      <x:c r="A176" s="1"/>
      <x:c r="B176" s="1"/>
      <x:c r="C176" s="1"/>
      <x:c r="D176" s="1"/>
      <x:c r="E176" s="1"/>
      <x:c r="F176" s="1"/>
    </x:row>
    <x:row r="177">
      <x:c r="A177" s="1"/>
      <x:c r="B177" s="1"/>
      <x:c r="C177" s="1"/>
      <x:c r="D177" s="1"/>
      <x:c r="E177" s="1"/>
      <x:c r="F177" s="1"/>
    </x:row>
    <x:row r="178">
      <x:c r="A178" s="1"/>
      <x:c r="B178" s="1"/>
      <x:c r="C178" s="1"/>
      <x:c r="D178" s="1"/>
      <x:c r="E178" s="1"/>
      <x:c r="F178" s="1"/>
    </x:row>
    <x:row r="179">
      <x:c r="A179" s="1"/>
      <x:c r="B179" s="1"/>
      <x:c r="C179" s="1"/>
      <x:c r="D179" s="1"/>
      <x:c r="E179" s="1"/>
      <x:c r="F179" s="1"/>
    </x:row>
    <x:row r="180">
      <x:c r="A180" s="1"/>
      <x:c r="B180" s="1"/>
      <x:c r="C180" s="1"/>
      <x:c r="D180" s="1"/>
      <x:c r="E180" s="1"/>
      <x:c r="F180" s="1"/>
    </x:row>
    <x:row r="181">
      <x:c r="A181" s="1"/>
      <x:c r="B181" s="1"/>
      <x:c r="C181" s="1"/>
      <x:c r="D181" s="1"/>
      <x:c r="E181" s="1"/>
      <x:c r="F181" s="1"/>
    </x:row>
    <x:row r="182">
      <x:c r="A182" s="1"/>
      <x:c r="B182" s="1"/>
      <x:c r="C182" s="1"/>
      <x:c r="D182" s="1"/>
      <x:c r="E182" s="1"/>
      <x:c r="F182" s="1"/>
    </x:row>
    <x:row r="183">
      <x:c r="A183" s="1"/>
      <x:c r="B183" s="1"/>
      <x:c r="C183" s="1"/>
      <x:c r="D183" s="1"/>
      <x:c r="E183" s="1"/>
      <x:c r="F183" s="1"/>
    </x:row>
    <x:row r="184">
      <x:c r="A184" s="1"/>
      <x:c r="B184" s="1"/>
      <x:c r="C184" s="1"/>
      <x:c r="D184" s="1"/>
      <x:c r="E184" s="1"/>
      <x:c r="F184" s="1"/>
    </x:row>
    <x:row r="185">
      <x:c r="A185" s="1"/>
      <x:c r="B185" s="1"/>
      <x:c r="C185" s="1"/>
      <x:c r="D185" s="1"/>
      <x:c r="E185" s="1"/>
      <x:c r="F185" s="1"/>
    </x:row>
    <x:row r="186">
      <x:c r="A186" s="1"/>
      <x:c r="B186" s="1"/>
      <x:c r="C186" s="1"/>
      <x:c r="D186" s="1"/>
      <x:c r="E186" s="1"/>
      <x:c r="F186" s="1"/>
    </x:row>
    <x:row r="187">
      <x:c r="A187" s="1"/>
      <x:c r="B187" s="1"/>
      <x:c r="C187" s="1"/>
      <x:c r="D187" s="1"/>
      <x:c r="E187" s="1"/>
      <x:c r="F187" s="1"/>
    </x:row>
    <x:row r="188">
      <x:c r="A188" s="1"/>
      <x:c r="B188" s="1"/>
      <x:c r="C188" s="1"/>
      <x:c r="D188" s="1"/>
      <x:c r="E188" s="1"/>
      <x:c r="F188" s="1"/>
    </x:row>
    <x:row r="189">
      <x:c r="A189" s="1"/>
      <x:c r="B189" s="1"/>
      <x:c r="C189" s="1"/>
      <x:c r="D189" s="1"/>
      <x:c r="E189" s="1"/>
      <x:c r="F189" s="1"/>
    </x:row>
    <x:row r="190">
      <x:c r="A190" s="1"/>
      <x:c r="B190" s="1"/>
      <x:c r="C190" s="1"/>
      <x:c r="D190" s="1"/>
      <x:c r="E190" s="1"/>
      <x:c r="F190" s="1"/>
    </x:row>
    <x:row r="191">
      <x:c r="A191" s="1"/>
      <x:c r="B191" s="1"/>
      <x:c r="C191" s="1"/>
      <x:c r="D191" s="1"/>
      <x:c r="E191" s="1"/>
      <x:c r="F191" s="1"/>
    </x:row>
    <x:row r="192">
      <x:c r="A192" s="1"/>
      <x:c r="B192" s="1"/>
      <x:c r="C192" s="1"/>
      <x:c r="D192" s="1"/>
      <x:c r="E192" s="1"/>
      <x:c r="F192" s="1"/>
    </x:row>
    <x:row r="193">
      <x:c r="A193" s="1"/>
      <x:c r="B193" s="1"/>
      <x:c r="C193" s="1"/>
      <x:c r="D193" s="1"/>
      <x:c r="E193" s="1"/>
      <x:c r="F193" s="1"/>
    </x:row>
    <x:row r="194">
      <x:c r="A194" s="1"/>
      <x:c r="B194" s="1"/>
      <x:c r="C194" s="1"/>
      <x:c r="D194" s="1"/>
      <x:c r="E194" s="1"/>
      <x:c r="F194" s="1"/>
    </x:row>
    <x:row r="195">
      <x:c r="A195" s="1"/>
      <x:c r="B195" s="1"/>
      <x:c r="C195" s="1"/>
      <x:c r="D195" s="1"/>
      <x:c r="E195" s="1"/>
      <x:c r="F195" s="1"/>
    </x:row>
    <x:row r="196">
      <x:c r="A196" s="1"/>
      <x:c r="B196" s="1"/>
      <x:c r="C196" s="1"/>
      <x:c r="D196" s="1"/>
      <x:c r="E196" s="1"/>
      <x:c r="F196" s="1"/>
    </x:row>
    <x:row r="197">
      <x:c r="A197" s="1"/>
      <x:c r="B197" s="1"/>
      <x:c r="C197" s="1"/>
      <x:c r="D197" s="1"/>
      <x:c r="E197" s="1"/>
      <x:c r="F197" s="1"/>
    </x:row>
    <x:row r="198">
      <x:c r="A198" s="1"/>
      <x:c r="B198" s="1"/>
      <x:c r="C198" s="1"/>
      <x:c r="D198" s="1"/>
      <x:c r="E198" s="1"/>
      <x:c r="F198" s="1"/>
    </x:row>
    <x:row r="199">
      <x:c r="A199" s="1"/>
      <x:c r="B199" s="1"/>
      <x:c r="C199" s="1"/>
      <x:c r="D199" s="1"/>
      <x:c r="E199" s="1"/>
      <x:c r="F199" s="1"/>
    </x:row>
    <x:row r="200">
      <x:c r="A200" s="1"/>
      <x:c r="B200" s="1"/>
      <x:c r="C200" s="1"/>
      <x:c r="D200" s="1"/>
      <x:c r="E200" s="1"/>
      <x:c r="F200" s="1"/>
    </x:row>
    <x:row r="201">
      <x:c r="A201" s="1"/>
      <x:c r="B201" s="1"/>
      <x:c r="C201" s="1"/>
      <x:c r="D201" s="1"/>
      <x:c r="E201" s="1"/>
      <x:c r="F201" s="1"/>
    </x:row>
    <x:row r="202">
      <x:c r="A202" s="1"/>
      <x:c r="B202" s="1"/>
      <x:c r="C202" s="1"/>
      <x:c r="D202" s="1"/>
      <x:c r="E202" s="1"/>
      <x:c r="F202" s="1"/>
    </x:row>
    <x:row r="203">
      <x:c r="A203" s="1"/>
      <x:c r="B203" s="1"/>
      <x:c r="C203" s="1"/>
      <x:c r="D203" s="1"/>
      <x:c r="E203" s="1"/>
      <x:c r="F203" s="1"/>
    </x:row>
    <x:row r="204">
      <x:c r="A204" s="1"/>
      <x:c r="B204" s="1"/>
      <x:c r="C204" s="1"/>
      <x:c r="D204" s="1"/>
      <x:c r="E204" s="1"/>
      <x:c r="F204" s="1"/>
    </x:row>
    <x:row r="205">
      <x:c r="A205" s="1"/>
      <x:c r="B205" s="1"/>
      <x:c r="C205" s="1"/>
      <x:c r="D205" s="1"/>
      <x:c r="E205" s="1"/>
      <x:c r="F205" s="1"/>
    </x:row>
    <x:row r="206">
      <x:c r="A206" s="1"/>
      <x:c r="B206" s="1"/>
      <x:c r="C206" s="1"/>
      <x:c r="D206" s="1"/>
      <x:c r="E206" s="1"/>
      <x:c r="F206" s="1"/>
    </x:row>
    <x:row r="207">
      <x:c r="A207" s="1"/>
      <x:c r="B207" s="1"/>
      <x:c r="C207" s="1"/>
      <x:c r="D207" s="1"/>
      <x:c r="E207" s="1"/>
      <x:c r="F207" s="1"/>
    </x:row>
    <x:row r="208">
      <x:c r="A208" s="1"/>
      <x:c r="B208" s="1"/>
      <x:c r="C208" s="1"/>
      <x:c r="D208" s="1"/>
      <x:c r="E208" s="1"/>
      <x:c r="F208" s="1"/>
    </x:row>
    <x:row r="209">
      <x:c r="A209" s="1"/>
      <x:c r="B209" s="1"/>
      <x:c r="C209" s="1"/>
      <x:c r="D209" s="1"/>
      <x:c r="E209" s="1"/>
      <x:c r="F209" s="1"/>
    </x:row>
    <x:row r="210">
      <x:c r="A210" s="1"/>
      <x:c r="B210" s="1"/>
      <x:c r="C210" s="1"/>
      <x:c r="D210" s="1"/>
      <x:c r="E210" s="1"/>
      <x:c r="F210" s="1"/>
    </x:row>
    <x:row r="211">
      <x:c r="A211" s="1"/>
      <x:c r="B211" s="1"/>
      <x:c r="C211" s="1"/>
      <x:c r="D211" s="1"/>
      <x:c r="E211" s="1"/>
      <x:c r="F211" s="1"/>
    </x:row>
    <x:row r="212">
      <x:c r="A212" s="1"/>
      <x:c r="B212" s="1"/>
      <x:c r="C212" s="1"/>
      <x:c r="D212" s="1"/>
      <x:c r="E212" s="1"/>
      <x:c r="F212" s="1"/>
    </x:row>
    <x:row r="213">
      <x:c r="A213" s="1"/>
      <x:c r="B213" s="1"/>
      <x:c r="C213" s="1"/>
      <x:c r="D213" s="1"/>
      <x:c r="E213" s="1"/>
      <x:c r="F213" s="1"/>
    </x:row>
    <x:row r="214">
      <x:c r="A214" s="1"/>
      <x:c r="B214" s="1"/>
      <x:c r="C214" s="1"/>
      <x:c r="D214" s="1"/>
      <x:c r="E214" s="1"/>
      <x:c r="F214" s="1"/>
    </x:row>
    <x:row r="215">
      <x:c r="A215" s="1"/>
      <x:c r="B215" s="1"/>
      <x:c r="C215" s="1"/>
      <x:c r="D215" s="1"/>
      <x:c r="E215" s="1"/>
      <x:c r="F215" s="1"/>
    </x:row>
    <x:row r="216">
      <x:c r="A216" s="1"/>
      <x:c r="B216" s="1"/>
      <x:c r="C216" s="1"/>
      <x:c r="D216" s="1"/>
      <x:c r="E216" s="1"/>
      <x:c r="F216" s="1"/>
    </x:row>
    <x:row r="217">
      <x:c r="A217" s="1"/>
      <x:c r="B217" s="1"/>
      <x:c r="C217" s="1"/>
      <x:c r="D217" s="1"/>
      <x:c r="E217" s="1"/>
      <x:c r="F217" s="1"/>
    </x:row>
    <x:row r="218">
      <x:c r="A218" s="1"/>
      <x:c r="B218" s="1"/>
      <x:c r="C218" s="1"/>
      <x:c r="D218" s="1"/>
      <x:c r="E218" s="1"/>
      <x:c r="F218" s="1"/>
    </x:row>
    <x:row r="219">
      <x:c r="A219" s="1"/>
      <x:c r="B219" s="1"/>
      <x:c r="C219" s="1"/>
      <x:c r="D219" s="1"/>
      <x:c r="E219" s="1"/>
      <x:c r="F219" s="1"/>
    </x:row>
    <x:row r="220">
      <x:c r="A220" s="1"/>
      <x:c r="B220" s="1"/>
      <x:c r="C220" s="1"/>
      <x:c r="D220" s="1"/>
      <x:c r="E220" s="1"/>
      <x:c r="F220" s="1"/>
    </x:row>
    <x:row r="221">
      <x:c r="A221" s="1"/>
      <x:c r="B221" s="1"/>
      <x:c r="C221" s="1"/>
      <x:c r="D221" s="1"/>
      <x:c r="E221" s="1"/>
      <x:c r="F221" s="1"/>
    </x:row>
    <x:row r="222">
      <x:c r="A222" s="1"/>
      <x:c r="B222" s="1"/>
      <x:c r="C222" s="1"/>
      <x:c r="D222" s="1"/>
      <x:c r="E222" s="1"/>
      <x:c r="F222" s="1"/>
    </x:row>
    <x:row r="223">
      <x:c r="A223" s="1"/>
      <x:c r="B223" s="1"/>
      <x:c r="C223" s="1"/>
      <x:c r="D223" s="1"/>
      <x:c r="E223" s="1"/>
      <x:c r="F223" s="1"/>
    </x:row>
    <x:row r="224">
      <x:c r="A224" s="1"/>
      <x:c r="B224" s="1"/>
      <x:c r="C224" s="1"/>
      <x:c r="D224" s="1"/>
      <x:c r="E224" s="1"/>
      <x:c r="F224" s="1"/>
    </x:row>
    <x:row r="225">
      <x:c r="A225" s="1"/>
      <x:c r="B225" s="1"/>
      <x:c r="C225" s="1"/>
      <x:c r="D225" s="1"/>
      <x:c r="E225" s="1"/>
      <x:c r="F225" s="1"/>
    </x:row>
    <x:row r="226">
      <x:c r="A226" s="1"/>
      <x:c r="B226" s="1"/>
      <x:c r="C226" s="1"/>
      <x:c r="D226" s="1"/>
      <x:c r="E226" s="1"/>
      <x:c r="F226" s="1"/>
    </x:row>
    <x:row r="227">
      <x:c r="A227" s="1"/>
      <x:c r="B227" s="1"/>
      <x:c r="C227" s="1"/>
      <x:c r="D227" s="1"/>
      <x:c r="E227" s="1"/>
      <x:c r="F227" s="1"/>
    </x:row>
    <x:row r="228">
      <x:c r="A228" s="1"/>
      <x:c r="B228" s="1"/>
      <x:c r="C228" s="1"/>
      <x:c r="D228" s="1"/>
      <x:c r="E228" s="1"/>
      <x:c r="F228" s="1"/>
    </x:row>
    <x:row r="229">
      <x:c r="A229" s="1"/>
      <x:c r="B229" s="1"/>
      <x:c r="C229" s="1"/>
      <x:c r="D229" s="1"/>
      <x:c r="E229" s="1"/>
      <x:c r="F229" s="1"/>
    </x:row>
    <x:row r="230">
      <x:c r="A230" s="1"/>
      <x:c r="B230" s="1"/>
      <x:c r="C230" s="1"/>
      <x:c r="D230" s="1"/>
      <x:c r="E230" s="1"/>
      <x:c r="F230" s="1"/>
    </x:row>
    <x:row r="231">
      <x:c r="A231" s="1"/>
      <x:c r="B231" s="1"/>
      <x:c r="C231" s="1"/>
      <x:c r="D231" s="1"/>
      <x:c r="E231" s="1"/>
      <x:c r="F231" s="1"/>
    </x:row>
    <x:row r="232">
      <x:c r="A232" s="1"/>
      <x:c r="B232" s="1"/>
      <x:c r="C232" s="1"/>
      <x:c r="D232" s="1"/>
      <x:c r="E232" s="1"/>
      <x:c r="F232" s="1"/>
    </x:row>
    <x:row r="233">
      <x:c r="A233" s="1"/>
      <x:c r="B233" s="1"/>
      <x:c r="C233" s="1"/>
      <x:c r="D233" s="1"/>
      <x:c r="E233" s="1"/>
      <x:c r="F233" s="1"/>
    </x:row>
    <x:row r="234">
      <x:c r="A234" s="1"/>
      <x:c r="B234" s="1"/>
      <x:c r="C234" s="1"/>
      <x:c r="D234" s="1"/>
      <x:c r="E234" s="1"/>
      <x:c r="F234" s="1"/>
    </x:row>
    <x:row r="235">
      <x:c r="A235" s="1"/>
      <x:c r="B235" s="1"/>
      <x:c r="C235" s="1"/>
      <x:c r="D235" s="1"/>
      <x:c r="E235" s="1"/>
      <x:c r="F235" s="1"/>
    </x:row>
    <x:row r="236">
      <x:c r="A236" s="1"/>
      <x:c r="B236" s="1"/>
      <x:c r="C236" s="1"/>
      <x:c r="D236" s="1"/>
      <x:c r="E236" s="1"/>
      <x:c r="F236" s="1"/>
    </x:row>
    <x:row r="237">
      <x:c r="A237" s="1"/>
      <x:c r="B237" s="1"/>
      <x:c r="C237" s="1"/>
      <x:c r="D237" s="1"/>
      <x:c r="E237" s="1"/>
      <x:c r="F237" s="1"/>
    </x:row>
    <x:row r="238">
      <x:c r="A238" s="1"/>
      <x:c r="B238" s="1"/>
      <x:c r="C238" s="1"/>
      <x:c r="D238" s="1"/>
      <x:c r="E238" s="1"/>
      <x:c r="F238" s="1"/>
    </x:row>
    <x:row r="239">
      <x:c r="A239" s="1"/>
      <x:c r="B239" s="1"/>
      <x:c r="C239" s="1"/>
      <x:c r="D239" s="1"/>
      <x:c r="E239" s="1"/>
      <x:c r="F239" s="1"/>
    </x:row>
    <x:row r="240">
      <x:c r="A240" s="1"/>
      <x:c r="B240" s="1"/>
      <x:c r="C240" s="1"/>
      <x:c r="D240" s="1"/>
      <x:c r="E240" s="1"/>
      <x:c r="F240" s="1"/>
    </x:row>
    <x:row r="241">
      <x:c r="A241" s="1"/>
      <x:c r="B241" s="1"/>
      <x:c r="C241" s="1"/>
      <x:c r="D241" s="1"/>
      <x:c r="E241" s="1"/>
      <x:c r="F241" s="1"/>
    </x:row>
    <x:row r="242">
      <x:c r="A242" s="1"/>
      <x:c r="B242" s="1"/>
      <x:c r="C242" s="1"/>
      <x:c r="D242" s="1"/>
      <x:c r="E242" s="1"/>
      <x:c r="F242" s="1"/>
    </x:row>
    <x:row r="243">
      <x:c r="A243" s="1"/>
      <x:c r="B243" s="1"/>
      <x:c r="C243" s="1"/>
      <x:c r="D243" s="1"/>
      <x:c r="E243" s="1"/>
      <x:c r="F243" s="1"/>
    </x:row>
    <x:row r="244">
      <x:c r="A244" s="1"/>
      <x:c r="B244" s="1"/>
      <x:c r="C244" s="1"/>
      <x:c r="D244" s="1"/>
      <x:c r="E244" s="1"/>
      <x:c r="F244" s="1"/>
    </x:row>
    <x:row r="245">
      <x:c r="A245" s="1"/>
      <x:c r="B245" s="1"/>
      <x:c r="C245" s="1"/>
      <x:c r="D245" s="1"/>
      <x:c r="E245" s="1"/>
      <x:c r="F245" s="1"/>
    </x:row>
    <x:row r="246">
      <x:c r="A246" s="1"/>
      <x:c r="B246" s="1"/>
      <x:c r="C246" s="1"/>
      <x:c r="D246" s="1"/>
      <x:c r="E246" s="1"/>
      <x:c r="F246" s="1"/>
    </x:row>
    <x:row r="247">
      <x:c r="A247" s="1"/>
      <x:c r="B247" s="1"/>
      <x:c r="C247" s="1"/>
      <x:c r="D247" s="1"/>
      <x:c r="E247" s="1"/>
      <x:c r="F247" s="1"/>
    </x:row>
    <x:row r="248">
      <x:c r="A248" s="1"/>
      <x:c r="B248" s="1"/>
      <x:c r="C248" s="1"/>
      <x:c r="D248" s="1"/>
      <x:c r="E248" s="1"/>
      <x:c r="F248" s="1"/>
    </x:row>
    <x:row r="249">
      <x:c r="A249" s="1"/>
      <x:c r="B249" s="1"/>
      <x:c r="C249" s="1"/>
      <x:c r="D249" s="1"/>
      <x:c r="E249" s="1"/>
      <x:c r="F249" s="1"/>
    </x:row>
    <x:row r="250">
      <x:c r="A250" s="1"/>
      <x:c r="B250" s="1"/>
      <x:c r="C250" s="1"/>
      <x:c r="D250" s="1"/>
      <x:c r="E250" s="1"/>
      <x:c r="F250" s="1"/>
    </x:row>
    <x:row r="251">
      <x:c r="A251" s="1"/>
      <x:c r="B251" s="1"/>
      <x:c r="C251" s="1"/>
      <x:c r="D251" s="1"/>
      <x:c r="E251" s="1"/>
      <x:c r="F251" s="1"/>
    </x:row>
    <x:row r="252">
      <x:c r="A252" s="1"/>
      <x:c r="B252" s="1"/>
      <x:c r="C252" s="1"/>
      <x:c r="D252" s="1"/>
      <x:c r="E252" s="1"/>
      <x:c r="F252" s="1"/>
    </x:row>
    <x:row r="253">
      <x:c r="A253" s="1"/>
      <x:c r="B253" s="1"/>
      <x:c r="C253" s="1"/>
      <x:c r="D253" s="1"/>
      <x:c r="E253" s="1"/>
      <x:c r="F253" s="1"/>
    </x:row>
    <x:row r="254">
      <x:c r="A254" s="1"/>
      <x:c r="B254" s="1"/>
      <x:c r="C254" s="1"/>
      <x:c r="D254" s="1"/>
      <x:c r="E254" s="1"/>
      <x:c r="F254" s="1"/>
    </x:row>
    <x:row r="255">
      <x:c r="A255" s="1"/>
      <x:c r="B255" s="1"/>
      <x:c r="C255" s="1"/>
      <x:c r="D255" s="1"/>
      <x:c r="E255" s="1"/>
      <x:c r="F255" s="1"/>
    </x:row>
    <x:row r="256">
      <x:c r="A256" s="1"/>
      <x:c r="B256" s="1"/>
      <x:c r="C256" s="1"/>
      <x:c r="D256" s="1"/>
      <x:c r="E256" s="1"/>
      <x:c r="F256" s="1"/>
    </x:row>
    <x:row r="257">
      <x:c r="A257" s="1"/>
      <x:c r="B257" s="1"/>
      <x:c r="C257" s="1"/>
      <x:c r="D257" s="1"/>
      <x:c r="E257" s="1"/>
      <x:c r="F257" s="1"/>
    </x:row>
    <x:row r="258">
      <x:c r="A258" s="1"/>
      <x:c r="B258" s="1"/>
      <x:c r="C258" s="1"/>
      <x:c r="D258" s="1"/>
      <x:c r="E258" s="1"/>
      <x:c r="F258" s="1"/>
    </x:row>
    <x:row r="259">
      <x:c r="A259" s="1"/>
      <x:c r="B259" s="1"/>
      <x:c r="C259" s="1"/>
      <x:c r="D259" s="1"/>
      <x:c r="E259" s="1"/>
      <x:c r="F259" s="1"/>
    </x:row>
    <x:row r="260">
      <x:c r="A260" s="1"/>
      <x:c r="B260" s="1"/>
      <x:c r="C260" s="1"/>
      <x:c r="D260" s="1"/>
      <x:c r="E260" s="1"/>
      <x:c r="F260" s="1"/>
    </x:row>
    <x:row r="261">
      <x:c r="A261" s="1"/>
      <x:c r="B261" s="1"/>
      <x:c r="C261" s="1"/>
      <x:c r="D261" s="1"/>
      <x:c r="E261" s="1"/>
      <x:c r="F261" s="1"/>
    </x:row>
    <x:row r="262">
      <x:c r="A262" s="1"/>
      <x:c r="B262" s="1"/>
      <x:c r="C262" s="1"/>
      <x:c r="D262" s="1"/>
      <x:c r="E262" s="1"/>
      <x:c r="F262" s="1"/>
    </x:row>
    <x:row r="263">
      <x:c r="A263" s="1"/>
      <x:c r="B263" s="1"/>
      <x:c r="C263" s="1"/>
      <x:c r="D263" s="1"/>
      <x:c r="E263" s="1"/>
      <x:c r="F263" s="1"/>
    </x:row>
    <x:row r="264">
      <x:c r="A264" s="1"/>
      <x:c r="B264" s="1"/>
      <x:c r="C264" s="1"/>
      <x:c r="D264" s="1"/>
      <x:c r="E264" s="1"/>
      <x:c r="F264" s="1"/>
    </x:row>
    <x:row r="265">
      <x:c r="A265" s="1"/>
      <x:c r="B265" s="1"/>
      <x:c r="C265" s="1"/>
      <x:c r="D265" s="1"/>
      <x:c r="E265" s="1"/>
      <x:c r="F265" s="1"/>
    </x:row>
    <x:row r="266">
      <x:c r="A266" s="1"/>
      <x:c r="B266" s="1"/>
      <x:c r="C266" s="1"/>
      <x:c r="D266" s="1"/>
      <x:c r="E266" s="1"/>
      <x:c r="F266" s="1"/>
    </x:row>
    <x:row r="267">
      <x:c r="A267" s="1"/>
      <x:c r="B267" s="1"/>
      <x:c r="C267" s="1"/>
      <x:c r="D267" s="1"/>
      <x:c r="E267" s="1"/>
      <x:c r="F267" s="1"/>
    </x:row>
    <x:row r="268">
      <x:c r="A268" s="1"/>
      <x:c r="B268" s="1"/>
      <x:c r="C268" s="1"/>
      <x:c r="D268" s="1"/>
      <x:c r="E268" s="1"/>
      <x:c r="F268" s="1"/>
    </x:row>
    <x:row r="269">
      <x:c r="A269" s="1"/>
      <x:c r="B269" s="1"/>
      <x:c r="C269" s="1"/>
      <x:c r="D269" s="1"/>
      <x:c r="E269" s="1"/>
      <x:c r="F269" s="1"/>
    </x:row>
    <x:row r="270">
      <x:c r="A270" s="1"/>
      <x:c r="B270" s="1"/>
      <x:c r="C270" s="1"/>
      <x:c r="D270" s="1"/>
      <x:c r="E270" s="1"/>
      <x:c r="F270" s="1"/>
    </x:row>
    <x:row r="271">
      <x:c r="A271" s="1"/>
      <x:c r="B271" s="1"/>
      <x:c r="C271" s="1"/>
      <x:c r="D271" s="1"/>
      <x:c r="E271" s="1"/>
      <x:c r="F271" s="1"/>
    </x:row>
    <x:row r="272">
      <x:c r="A272" s="1"/>
      <x:c r="B272" s="1"/>
      <x:c r="C272" s="1"/>
      <x:c r="D272" s="1"/>
      <x:c r="E272" s="1"/>
      <x:c r="F272" s="1"/>
    </x:row>
    <x:row r="273">
      <x:c r="A273" s="1"/>
      <x:c r="B273" s="1"/>
      <x:c r="C273" s="1"/>
      <x:c r="D273" s="1"/>
      <x:c r="E273" s="1"/>
      <x:c r="F273" s="1"/>
    </x:row>
    <x:row r="274">
      <x:c r="A274" s="1"/>
      <x:c r="B274" s="1"/>
      <x:c r="C274" s="1"/>
      <x:c r="D274" s="1"/>
      <x:c r="E274" s="1"/>
      <x:c r="F274" s="1"/>
    </x:row>
    <x:row r="275">
      <x:c r="A275" s="1"/>
      <x:c r="B275" s="1"/>
      <x:c r="C275" s="1"/>
      <x:c r="D275" s="1"/>
      <x:c r="E275" s="1"/>
      <x:c r="F275" s="1"/>
    </x:row>
    <x:row r="276">
      <x:c r="A276" s="1"/>
      <x:c r="B276" s="1"/>
      <x:c r="C276" s="1"/>
      <x:c r="D276" s="1"/>
      <x:c r="E276" s="1"/>
      <x:c r="F276" s="1"/>
    </x:row>
    <x:row r="277">
      <x:c r="A277" s="1"/>
      <x:c r="B277" s="1"/>
      <x:c r="C277" s="1"/>
      <x:c r="D277" s="1"/>
      <x:c r="E277" s="1"/>
      <x:c r="F277" s="1"/>
    </x:row>
    <x:row r="278">
      <x:c r="A278" s="1"/>
      <x:c r="B278" s="1"/>
      <x:c r="C278" s="1"/>
      <x:c r="D278" s="1"/>
      <x:c r="E278" s="1"/>
      <x:c r="F278" s="1"/>
    </x:row>
    <x:row r="279">
      <x:c r="A279" s="1"/>
      <x:c r="B279" s="1"/>
      <x:c r="C279" s="1"/>
      <x:c r="D279" s="1"/>
      <x:c r="E279" s="1"/>
      <x:c r="F279" s="1"/>
    </x:row>
    <x:row r="280">
      <x:c r="A280" s="1"/>
      <x:c r="B280" s="1"/>
      <x:c r="C280" s="1"/>
      <x:c r="D280" s="1"/>
      <x:c r="E280" s="1"/>
      <x:c r="F280" s="1"/>
    </x:row>
    <x:row r="281">
      <x:c r="A281" s="1"/>
      <x:c r="B281" s="1"/>
      <x:c r="C281" s="1"/>
      <x:c r="D281" s="1"/>
      <x:c r="E281" s="1"/>
      <x:c r="F281" s="1"/>
    </x:row>
    <x:row r="282">
      <x:c r="A282" s="1"/>
      <x:c r="B282" s="1"/>
      <x:c r="C282" s="1"/>
      <x:c r="D282" s="1"/>
      <x:c r="E282" s="1"/>
      <x:c r="F282" s="1"/>
    </x:row>
    <x:row r="283">
      <x:c r="A283" s="1"/>
      <x:c r="B283" s="1"/>
      <x:c r="C283" s="1"/>
      <x:c r="D283" s="1"/>
      <x:c r="E283" s="1"/>
      <x:c r="F283" s="1"/>
    </x:row>
    <x:row r="284">
      <x:c r="A284" s="1"/>
      <x:c r="B284" s="1"/>
      <x:c r="C284" s="1"/>
      <x:c r="D284" s="1"/>
      <x:c r="E284" s="1"/>
      <x:c r="F284" s="1"/>
    </x:row>
    <x:row r="285">
      <x:c r="A285" s="1"/>
      <x:c r="B285" s="1"/>
      <x:c r="C285" s="1"/>
      <x:c r="D285" s="1"/>
      <x:c r="E285" s="1"/>
      <x:c r="F285" s="1"/>
    </x:row>
    <x:row r="286">
      <x:c r="A286" s="1"/>
      <x:c r="B286" s="1"/>
      <x:c r="C286" s="1"/>
      <x:c r="D286" s="1"/>
      <x:c r="E286" s="1"/>
      <x:c r="F286" s="1"/>
    </x:row>
    <x:row r="287">
      <x:c r="A287" s="1"/>
      <x:c r="B287" s="1"/>
      <x:c r="C287" s="1"/>
      <x:c r="D287" s="1"/>
      <x:c r="E287" s="1"/>
      <x:c r="F287" s="1"/>
    </x:row>
    <x:row r="288">
      <x:c r="A288" s="1"/>
      <x:c r="B288" s="1"/>
      <x:c r="C288" s="1"/>
      <x:c r="D288" s="1"/>
      <x:c r="E288" s="1"/>
      <x:c r="F288" s="1"/>
    </x:row>
    <x:row r="289">
      <x:c r="A289" s="1"/>
      <x:c r="B289" s="1"/>
      <x:c r="C289" s="1"/>
      <x:c r="D289" s="1"/>
      <x:c r="E289" s="1"/>
      <x:c r="F289" s="1"/>
    </x:row>
    <x:row r="290">
      <x:c r="A290" s="1"/>
      <x:c r="B290" s="1"/>
      <x:c r="C290" s="1"/>
      <x:c r="D290" s="1"/>
      <x:c r="E290" s="1"/>
      <x:c r="F290" s="1"/>
    </x:row>
    <x:row r="291">
      <x:c r="A291" s="1"/>
      <x:c r="B291" s="1"/>
      <x:c r="C291" s="1"/>
      <x:c r="D291" s="1"/>
      <x:c r="E291" s="1"/>
      <x:c r="F291" s="1"/>
    </x:row>
    <x:row r="292">
      <x:c r="A292" s="1"/>
      <x:c r="B292" s="1"/>
      <x:c r="C292" s="1"/>
      <x:c r="D292" s="1"/>
      <x:c r="E292" s="1"/>
      <x:c r="F292" s="1"/>
    </x:row>
    <x:row r="293">
      <x:c r="A293" s="1"/>
      <x:c r="B293" s="1"/>
      <x:c r="C293" s="1"/>
      <x:c r="D293" s="1"/>
      <x:c r="E293" s="1"/>
      <x:c r="F293" s="1"/>
    </x:row>
    <x:row r="294">
      <x:c r="A294" s="1"/>
      <x:c r="B294" s="1"/>
      <x:c r="C294" s="1"/>
      <x:c r="D294" s="1"/>
      <x:c r="E294" s="1"/>
      <x:c r="F294" s="1"/>
    </x:row>
    <x:row r="295">
      <x:c r="A295" s="1"/>
      <x:c r="B295" s="1"/>
      <x:c r="C295" s="1"/>
      <x:c r="D295" s="1"/>
      <x:c r="E295" s="1"/>
      <x:c r="F295" s="1"/>
    </x:row>
    <x:row r="296">
      <x:c r="A296" s="1"/>
      <x:c r="B296" s="1"/>
      <x:c r="C296" s="1"/>
      <x:c r="D296" s="1"/>
      <x:c r="E296" s="1"/>
      <x:c r="F296" s="1"/>
    </x:row>
    <x:row r="297">
      <x:c r="A297" s="1"/>
      <x:c r="B297" s="1"/>
      <x:c r="C297" s="1"/>
      <x:c r="D297" s="1"/>
      <x:c r="E297" s="1"/>
      <x:c r="F297" s="1"/>
    </x:row>
    <x:row r="298">
      <x:c r="A298" s="1"/>
      <x:c r="B298" s="1"/>
      <x:c r="C298" s="1"/>
      <x:c r="D298" s="1"/>
      <x:c r="E298" s="1"/>
      <x:c r="F298" s="1"/>
    </x:row>
    <x:row r="299">
      <x:c r="A299" s="1"/>
      <x:c r="B299" s="1"/>
      <x:c r="C299" s="1"/>
      <x:c r="D299" s="1"/>
      <x:c r="E299" s="1"/>
      <x:c r="F299" s="1"/>
    </x:row>
    <x:row r="300">
      <x:c r="A300" s="1"/>
      <x:c r="B300" s="1"/>
      <x:c r="C300" s="1"/>
      <x:c r="D300" s="1"/>
      <x:c r="E300" s="1"/>
      <x:c r="F300" s="1"/>
    </x:row>
    <x:row r="301">
      <x:c r="A301" s="1"/>
      <x:c r="B301" s="1"/>
      <x:c r="C301" s="1"/>
      <x:c r="D301" s="1"/>
      <x:c r="E301" s="1"/>
      <x:c r="F301" s="1"/>
    </x:row>
    <x:row r="302">
      <x:c r="A302" s="1"/>
      <x:c r="B302" s="1"/>
      <x:c r="C302" s="1"/>
      <x:c r="D302" s="1"/>
      <x:c r="E302" s="1"/>
      <x:c r="F302" s="1"/>
    </x:row>
    <x:row r="303">
      <x:c r="A303" s="1"/>
      <x:c r="B303" s="1"/>
      <x:c r="C303" s="1"/>
      <x:c r="D303" s="1"/>
      <x:c r="E303" s="1"/>
      <x:c r="F303" s="1"/>
    </x:row>
    <x:row r="304">
      <x:c r="A304" s="1"/>
      <x:c r="B304" s="1"/>
      <x:c r="C304" s="1"/>
      <x:c r="D304" s="1"/>
      <x:c r="E304" s="1"/>
      <x:c r="F304" s="1"/>
    </x:row>
    <x:row r="305">
      <x:c r="A305" s="1"/>
      <x:c r="B305" s="1"/>
      <x:c r="C305" s="1"/>
      <x:c r="D305" s="1"/>
      <x:c r="E305" s="1"/>
      <x:c r="F305" s="1"/>
    </x:row>
    <x:row r="306">
      <x:c r="A306" s="1"/>
      <x:c r="B306" s="1"/>
      <x:c r="C306" s="1"/>
      <x:c r="D306" s="1"/>
      <x:c r="E306" s="1"/>
      <x:c r="F306" s="1"/>
    </x:row>
    <x:row r="307">
      <x:c r="A307" s="1"/>
      <x:c r="B307" s="1"/>
      <x:c r="C307" s="1"/>
      <x:c r="D307" s="1"/>
      <x:c r="E307" s="1"/>
      <x:c r="F307" s="1"/>
    </x:row>
    <x:row r="308">
      <x:c r="A308" s="1"/>
      <x:c r="B308" s="1"/>
      <x:c r="C308" s="1"/>
      <x:c r="D308" s="1"/>
      <x:c r="E308" s="1"/>
      <x:c r="F308" s="1"/>
    </x:row>
    <x:row r="309">
      <x:c r="A309" s="1"/>
      <x:c r="B309" s="1"/>
      <x:c r="C309" s="1"/>
      <x:c r="D309" s="1"/>
      <x:c r="E309" s="1"/>
      <x:c r="F309" s="1"/>
    </x:row>
    <x:row r="310">
      <x:c r="A310" s="1"/>
      <x:c r="B310" s="1"/>
      <x:c r="C310" s="1"/>
      <x:c r="D310" s="1"/>
      <x:c r="E310" s="1"/>
      <x:c r="F310" s="1"/>
    </x:row>
    <x:row r="311">
      <x:c r="A311" s="1"/>
      <x:c r="B311" s="1"/>
      <x:c r="C311" s="1"/>
      <x:c r="D311" s="1"/>
      <x:c r="E311" s="1"/>
      <x:c r="F311" s="1"/>
    </x:row>
    <x:row r="312">
      <x:c r="A312" s="1"/>
      <x:c r="B312" s="1"/>
      <x:c r="C312" s="1"/>
      <x:c r="D312" s="1"/>
      <x:c r="E312" s="1"/>
      <x:c r="F312" s="1"/>
    </x:row>
    <x:row r="313">
      <x:c r="A313" s="1"/>
      <x:c r="B313" s="1"/>
      <x:c r="C313" s="1"/>
      <x:c r="D313" s="1"/>
      <x:c r="E313" s="1"/>
      <x:c r="F313" s="1"/>
    </x:row>
    <x:row r="314">
      <x:c r="A314" s="1"/>
      <x:c r="B314" s="1"/>
      <x:c r="C314" s="1"/>
      <x:c r="D314" s="1"/>
      <x:c r="E314" s="1"/>
      <x:c r="F314" s="1"/>
    </x:row>
    <x:row r="315">
      <x:c r="A315" s="1"/>
      <x:c r="B315" s="1"/>
      <x:c r="C315" s="1"/>
      <x:c r="D315" s="1"/>
      <x:c r="E315" s="1"/>
      <x:c r="F315" s="1"/>
    </x:row>
    <x:row r="316">
      <x:c r="A316" s="1"/>
      <x:c r="B316" s="1"/>
      <x:c r="C316" s="1"/>
      <x:c r="D316" s="1"/>
      <x:c r="E316" s="1"/>
      <x:c r="F316" s="1"/>
    </x:row>
    <x:row r="317">
      <x:c r="A317" s="1"/>
      <x:c r="B317" s="1"/>
      <x:c r="C317" s="1"/>
      <x:c r="D317" s="1"/>
      <x:c r="E317" s="1"/>
      <x:c r="F317" s="1"/>
    </x:row>
    <x:row r="318">
      <x:c r="A318" s="1"/>
      <x:c r="B318" s="1"/>
      <x:c r="C318" s="1"/>
      <x:c r="D318" s="1"/>
      <x:c r="E318" s="1"/>
      <x:c r="F318" s="1"/>
    </x:row>
    <x:row r="319">
      <x:c r="A319" s="1"/>
      <x:c r="B319" s="1"/>
      <x:c r="C319" s="1"/>
      <x:c r="D319" s="1"/>
      <x:c r="E319" s="1"/>
      <x:c r="F319" s="1"/>
    </x:row>
    <x:row r="320">
      <x:c r="A320" s="1"/>
      <x:c r="B320" s="1"/>
      <x:c r="C320" s="1"/>
      <x:c r="D320" s="1"/>
      <x:c r="E320" s="1"/>
      <x:c r="F320" s="1"/>
    </x:row>
    <x:row r="321">
      <x:c r="A321" s="1"/>
      <x:c r="B321" s="1"/>
      <x:c r="C321" s="1"/>
      <x:c r="D321" s="1"/>
      <x:c r="E321" s="1"/>
      <x:c r="F321" s="1"/>
    </x:row>
    <x:row r="322">
      <x:c r="A322" s="1"/>
      <x:c r="B322" s="1"/>
      <x:c r="C322" s="1"/>
      <x:c r="D322" s="1"/>
      <x:c r="E322" s="1"/>
      <x:c r="F322" s="1"/>
    </x:row>
    <x:row r="323">
      <x:c r="A323" s="1"/>
      <x:c r="B323" s="1"/>
      <x:c r="C323" s="1"/>
      <x:c r="D323" s="1"/>
      <x:c r="E323" s="1"/>
      <x:c r="F323" s="1"/>
    </x:row>
    <x:row r="324">
      <x:c r="A324" s="1"/>
      <x:c r="B324" s="1"/>
      <x:c r="C324" s="1"/>
      <x:c r="D324" s="1"/>
      <x:c r="E324" s="1"/>
      <x:c r="F324" s="1"/>
    </x:row>
    <x:row r="325">
      <x:c r="A325" s="1"/>
      <x:c r="B325" s="1"/>
      <x:c r="C325" s="1"/>
      <x:c r="D325" s="1"/>
      <x:c r="E325" s="1"/>
      <x:c r="F325" s="1"/>
    </x:row>
    <x:row r="326">
      <x:c r="A326" s="1"/>
      <x:c r="B326" s="1"/>
      <x:c r="C326" s="1"/>
      <x:c r="D326" s="1"/>
      <x:c r="E326" s="1"/>
      <x:c r="F326" s="1"/>
    </x:row>
    <x:row r="327">
      <x:c r="A327" s="1"/>
      <x:c r="B327" s="1"/>
      <x:c r="C327" s="1"/>
      <x:c r="D327" s="1"/>
      <x:c r="E327" s="1"/>
      <x:c r="F327" s="1"/>
    </x:row>
    <x:row r="328">
      <x:c r="A328" s="1"/>
      <x:c r="B328" s="1"/>
      <x:c r="C328" s="1"/>
      <x:c r="D328" s="1"/>
      <x:c r="E328" s="1"/>
      <x:c r="F328" s="1"/>
    </x:row>
    <x:row r="329">
      <x:c r="A329" s="1"/>
      <x:c r="B329" s="1"/>
      <x:c r="C329" s="1"/>
      <x:c r="D329" s="1"/>
      <x:c r="E329" s="1"/>
      <x:c r="F329" s="1"/>
    </x:row>
    <x:row r="330">
      <x:c r="A330" s="1"/>
      <x:c r="B330" s="1"/>
      <x:c r="C330" s="1"/>
      <x:c r="D330" s="1"/>
      <x:c r="E330" s="1"/>
      <x:c r="F330" s="1"/>
    </x:row>
    <x:row r="331">
      <x:c r="A331" s="1"/>
      <x:c r="B331" s="1"/>
      <x:c r="C331" s="1"/>
      <x:c r="D331" s="1"/>
      <x:c r="E331" s="1"/>
      <x:c r="F331" s="1"/>
    </x:row>
    <x:row r="332">
      <x:c r="A332" s="1"/>
      <x:c r="B332" s="1"/>
      <x:c r="C332" s="1"/>
      <x:c r="D332" s="1"/>
      <x:c r="E332" s="1"/>
      <x:c r="F332" s="1"/>
    </x:row>
    <x:row r="333">
      <x:c r="A333" s="1"/>
      <x:c r="B333" s="1"/>
      <x:c r="C333" s="1"/>
      <x:c r="D333" s="1"/>
      <x:c r="E333" s="1"/>
      <x:c r="F333" s="1"/>
    </x:row>
    <x:row r="334">
      <x:c r="A334" s="1"/>
      <x:c r="B334" s="1"/>
      <x:c r="C334" s="1"/>
      <x:c r="D334" s="1"/>
      <x:c r="E334" s="1"/>
      <x:c r="F334" s="1"/>
    </x:row>
    <x:row r="335">
      <x:c r="A335" s="1"/>
      <x:c r="B335" s="1"/>
      <x:c r="C335" s="1"/>
      <x:c r="D335" s="1"/>
      <x:c r="E335" s="1"/>
      <x:c r="F335" s="1"/>
    </x:row>
    <x:row r="336">
      <x:c r="A336" s="1"/>
      <x:c r="B336" s="1"/>
      <x:c r="C336" s="1"/>
      <x:c r="D336" s="1"/>
      <x:c r="E336" s="1"/>
      <x:c r="F336" s="1"/>
    </x:row>
    <x:row r="337">
      <x:c r="A337" s="1"/>
      <x:c r="B337" s="1"/>
      <x:c r="C337" s="1"/>
      <x:c r="D337" s="1"/>
      <x:c r="E337" s="1"/>
      <x:c r="F337" s="1"/>
    </x:row>
    <x:row r="338">
      <x:c r="A338" s="1"/>
      <x:c r="B338" s="1"/>
      <x:c r="C338" s="1"/>
      <x:c r="D338" s="1"/>
      <x:c r="E338" s="1"/>
      <x:c r="F338" s="1"/>
    </x:row>
    <x:row r="339">
      <x:c r="A339" s="1"/>
      <x:c r="B339" s="1"/>
      <x:c r="C339" s="1"/>
      <x:c r="D339" s="1"/>
      <x:c r="E339" s="1"/>
      <x:c r="F339" s="1"/>
    </x:row>
    <x:row r="340">
      <x:c r="A340" s="1"/>
      <x:c r="B340" s="1"/>
      <x:c r="C340" s="1"/>
      <x:c r="D340" s="1"/>
      <x:c r="E340" s="1"/>
      <x:c r="F340" s="1"/>
    </x:row>
    <x:row r="341">
      <x:c r="A341" s="1"/>
      <x:c r="B341" s="1"/>
      <x:c r="C341" s="1"/>
      <x:c r="D341" s="1"/>
      <x:c r="E341" s="1"/>
      <x:c r="F341" s="1"/>
    </x:row>
    <x:row r="342">
      <x:c r="A342" s="1"/>
      <x:c r="B342" s="1"/>
      <x:c r="C342" s="1"/>
      <x:c r="D342" s="1"/>
      <x:c r="E342" s="1"/>
      <x:c r="F342" s="1"/>
    </x:row>
    <x:row r="343">
      <x:c r="A343" s="1"/>
      <x:c r="B343" s="1"/>
      <x:c r="C343" s="1"/>
      <x:c r="D343" s="1"/>
      <x:c r="E343" s="1"/>
      <x:c r="F343" s="1"/>
    </x:row>
    <x:row r="344">
      <x:c r="A344" s="1"/>
      <x:c r="B344" s="1"/>
      <x:c r="C344" s="1"/>
      <x:c r="D344" s="1"/>
      <x:c r="E344" s="1"/>
      <x:c r="F344" s="1"/>
    </x:row>
    <x:row r="345">
      <x:c r="A345" s="1"/>
      <x:c r="B345" s="1"/>
      <x:c r="C345" s="1"/>
      <x:c r="D345" s="1"/>
      <x:c r="E345" s="1"/>
      <x:c r="F345" s="1"/>
    </x:row>
    <x:row r="346">
      <x:c r="A346" s="1"/>
      <x:c r="B346" s="1"/>
      <x:c r="C346" s="1"/>
      <x:c r="D346" s="1"/>
      <x:c r="E346" s="1"/>
      <x:c r="F346" s="1"/>
    </x:row>
    <x:row r="347">
      <x:c r="A347" s="1"/>
      <x:c r="B347" s="1"/>
      <x:c r="C347" s="1"/>
      <x:c r="D347" s="1"/>
      <x:c r="E347" s="1"/>
      <x:c r="F347" s="1"/>
    </x:row>
    <x:row r="348">
      <x:c r="A348" s="1"/>
      <x:c r="B348" s="1"/>
      <x:c r="C348" s="1"/>
      <x:c r="D348" s="1"/>
      <x:c r="E348" s="1"/>
      <x:c r="F348" s="1"/>
    </x:row>
    <x:row r="349">
      <x:c r="A349" s="1"/>
      <x:c r="B349" s="1"/>
      <x:c r="C349" s="1"/>
      <x:c r="D349" s="1"/>
      <x:c r="E349" s="1"/>
      <x:c r="F349" s="1"/>
    </x:row>
    <x:row r="350">
      <x:c r="A350" s="1"/>
      <x:c r="B350" s="1"/>
      <x:c r="C350" s="1"/>
      <x:c r="D350" s="1"/>
      <x:c r="E350" s="1"/>
      <x:c r="F350" s="1"/>
    </x:row>
    <x:row r="351">
      <x:c r="A351" s="1"/>
      <x:c r="B351" s="1"/>
      <x:c r="C351" s="1"/>
      <x:c r="D351" s="1"/>
      <x:c r="E351" s="1"/>
      <x:c r="F351" s="1"/>
    </x:row>
    <x:row r="352">
      <x:c r="A352" s="1"/>
      <x:c r="B352" s="1"/>
      <x:c r="C352" s="1"/>
      <x:c r="D352" s="1"/>
      <x:c r="E352" s="1"/>
      <x:c r="F352" s="1"/>
    </x:row>
    <x:row r="353">
      <x:c r="A353" s="1"/>
      <x:c r="B353" s="1"/>
      <x:c r="C353" s="1"/>
      <x:c r="D353" s="1"/>
      <x:c r="E353" s="1"/>
      <x:c r="F353" s="1"/>
    </x:row>
    <x:row r="354">
      <x:c r="A354" s="1"/>
      <x:c r="B354" s="1"/>
      <x:c r="C354" s="1"/>
      <x:c r="D354" s="1"/>
      <x:c r="E354" s="1"/>
      <x:c r="F354" s="1"/>
    </x:row>
    <x:row r="355">
      <x:c r="A355" s="1"/>
      <x:c r="B355" s="1"/>
      <x:c r="C355" s="1"/>
      <x:c r="D355" s="1"/>
      <x:c r="E355" s="1"/>
      <x:c r="F355" s="1"/>
    </x:row>
    <x:row r="356">
      <x:c r="A356" s="1"/>
      <x:c r="B356" s="1"/>
      <x:c r="C356" s="1"/>
      <x:c r="D356" s="1"/>
      <x:c r="E356" s="1"/>
      <x:c r="F356" s="1"/>
    </x:row>
    <x:row r="357">
      <x:c r="A357" s="1"/>
      <x:c r="B357" s="1"/>
      <x:c r="C357" s="1"/>
      <x:c r="D357" s="1"/>
      <x:c r="E357" s="1"/>
      <x:c r="F357" s="1"/>
    </x:row>
    <x:row r="358">
      <x:c r="A358" s="1"/>
      <x:c r="B358" s="1"/>
      <x:c r="C358" s="1"/>
      <x:c r="D358" s="1"/>
      <x:c r="E358" s="1"/>
      <x:c r="F358" s="1"/>
    </x:row>
    <x:row r="359">
      <x:c r="A359" s="1"/>
      <x:c r="B359" s="1"/>
      <x:c r="C359" s="1"/>
      <x:c r="D359" s="1"/>
      <x:c r="E359" s="1"/>
      <x:c r="F359" s="1"/>
    </x:row>
    <x:row r="360">
      <x:c r="A360" s="1"/>
      <x:c r="B360" s="1"/>
      <x:c r="C360" s="1"/>
      <x:c r="D360" s="1"/>
      <x:c r="E360" s="1"/>
      <x:c r="F360" s="1"/>
    </x:row>
    <x:row r="361">
      <x:c r="A361" s="1"/>
      <x:c r="B361" s="1"/>
      <x:c r="C361" s="1"/>
      <x:c r="D361" s="1"/>
      <x:c r="E361" s="1"/>
      <x:c r="F361" s="1"/>
    </x:row>
    <x:row r="362">
      <x:c r="A362" s="1"/>
      <x:c r="B362" s="1"/>
      <x:c r="C362" s="1"/>
      <x:c r="D362" s="1"/>
      <x:c r="E362" s="1"/>
      <x:c r="F362" s="1"/>
    </x:row>
    <x:row r="363">
      <x:c r="A363" s="1"/>
      <x:c r="B363" s="1"/>
      <x:c r="C363" s="1"/>
      <x:c r="D363" s="1"/>
      <x:c r="E363" s="1"/>
      <x:c r="F363" s="1"/>
    </x:row>
    <x:row r="364">
      <x:c r="A364" s="1"/>
      <x:c r="B364" s="1"/>
      <x:c r="C364" s="1"/>
      <x:c r="D364" s="1"/>
      <x:c r="E364" s="1"/>
      <x:c r="F364" s="1"/>
    </x:row>
    <x:row r="365">
      <x:c r="A365" s="1"/>
      <x:c r="B365" s="1"/>
      <x:c r="C365" s="1"/>
      <x:c r="D365" s="1"/>
      <x:c r="E365" s="1"/>
      <x:c r="F365" s="1"/>
    </x:row>
    <x:row r="366">
      <x:c r="A366" s="1"/>
      <x:c r="B366" s="1"/>
      <x:c r="C366" s="1"/>
      <x:c r="D366" s="1"/>
      <x:c r="E366" s="1"/>
      <x:c r="F366" s="1"/>
    </x:row>
    <x:row r="367">
      <x:c r="A367" s="1"/>
      <x:c r="B367" s="1"/>
      <x:c r="C367" s="1"/>
      <x:c r="D367" s="1"/>
      <x:c r="E367" s="1"/>
      <x:c r="F367" s="1"/>
    </x:row>
    <x:row r="368">
      <x:c r="A368" s="1"/>
      <x:c r="B368" s="1"/>
      <x:c r="C368" s="1"/>
      <x:c r="D368" s="1"/>
      <x:c r="E368" s="1"/>
      <x:c r="F368" s="1"/>
    </x:row>
    <x:row r="369">
      <x:c r="A369" s="1"/>
      <x:c r="B369" s="1"/>
      <x:c r="C369" s="1"/>
      <x:c r="D369" s="1"/>
      <x:c r="E369" s="1"/>
      <x:c r="F369" s="1"/>
    </x:row>
    <x:row r="370">
      <x:c r="A370" s="1"/>
      <x:c r="B370" s="1"/>
      <x:c r="C370" s="1"/>
      <x:c r="D370" s="1"/>
      <x:c r="E370" s="1"/>
      <x:c r="F370" s="1"/>
    </x:row>
    <x:row r="371">
      <x:c r="A371" s="1"/>
      <x:c r="B371" s="1"/>
      <x:c r="C371" s="1"/>
      <x:c r="D371" s="1"/>
      <x:c r="E371" s="1"/>
      <x:c r="F371" s="1"/>
    </x:row>
    <x:row r="372">
      <x:c r="A372" s="1"/>
      <x:c r="B372" s="1"/>
      <x:c r="C372" s="1"/>
      <x:c r="D372" s="1"/>
      <x:c r="E372" s="1"/>
      <x:c r="F372" s="1"/>
    </x:row>
    <x:row r="373">
      <x:c r="A373" s="1"/>
      <x:c r="B373" s="1"/>
      <x:c r="C373" s="1"/>
      <x:c r="D373" s="1"/>
      <x:c r="E373" s="1"/>
      <x:c r="F373" s="1"/>
    </x:row>
    <x:row r="374">
      <x:c r="A374" s="1"/>
      <x:c r="B374" s="1"/>
      <x:c r="C374" s="1"/>
      <x:c r="D374" s="1"/>
      <x:c r="E374" s="1"/>
      <x:c r="F374" s="1"/>
    </x:row>
    <x:row r="375">
      <x:c r="A375" s="1"/>
      <x:c r="B375" s="1"/>
      <x:c r="C375" s="1"/>
      <x:c r="D375" s="1"/>
      <x:c r="E375" s="1"/>
      <x:c r="F375" s="1"/>
    </x:row>
    <x:row r="376">
      <x:c r="A376" s="1"/>
      <x:c r="B376" s="1"/>
      <x:c r="C376" s="1"/>
      <x:c r="D376" s="1"/>
      <x:c r="E376" s="1"/>
      <x:c r="F376" s="1"/>
    </x:row>
    <x:row r="377">
      <x:c r="A377" s="1"/>
      <x:c r="B377" s="1"/>
      <x:c r="C377" s="1"/>
      <x:c r="D377" s="1"/>
      <x:c r="E377" s="1"/>
      <x:c r="F377" s="1"/>
    </x:row>
    <x:row r="378">
      <x:c r="A378" s="1"/>
      <x:c r="B378" s="1"/>
      <x:c r="C378" s="1"/>
      <x:c r="D378" s="1"/>
      <x:c r="E378" s="1"/>
      <x:c r="F378" s="1"/>
    </x:row>
    <x:row r="379">
      <x:c r="A379" s="1"/>
      <x:c r="B379" s="1"/>
      <x:c r="C379" s="1"/>
      <x:c r="D379" s="1"/>
      <x:c r="E379" s="1"/>
      <x:c r="F379" s="1"/>
    </x:row>
    <x:row r="380">
      <x:c r="A380" s="1"/>
      <x:c r="B380" s="1"/>
      <x:c r="C380" s="1"/>
      <x:c r="D380" s="1"/>
      <x:c r="E380" s="1"/>
      <x:c r="F380" s="1"/>
    </x:row>
    <x:row r="381">
      <x:c r="A381" s="1"/>
      <x:c r="B381" s="1"/>
      <x:c r="C381" s="1"/>
      <x:c r="D381" s="1"/>
      <x:c r="E381" s="1"/>
      <x:c r="F381" s="1"/>
    </x:row>
    <x:row r="382">
      <x:c r="A382" s="1"/>
      <x:c r="B382" s="1"/>
      <x:c r="C382" s="1"/>
      <x:c r="D382" s="1"/>
      <x:c r="E382" s="1"/>
      <x:c r="F382" s="1"/>
    </x:row>
    <x:row r="383">
      <x:c r="A383" s="1"/>
      <x:c r="B383" s="1"/>
      <x:c r="C383" s="1"/>
      <x:c r="D383" s="1"/>
      <x:c r="E383" s="1"/>
      <x:c r="F383" s="1"/>
    </x:row>
    <x:row r="384">
      <x:c r="A384" s="1"/>
      <x:c r="B384" s="1"/>
      <x:c r="C384" s="1"/>
      <x:c r="D384" s="1"/>
      <x:c r="E384" s="1"/>
      <x:c r="F384" s="1"/>
    </x:row>
    <x:row r="385">
      <x:c r="A385" s="1"/>
      <x:c r="B385" s="1"/>
      <x:c r="C385" s="1"/>
      <x:c r="D385" s="1"/>
      <x:c r="E385" s="1"/>
      <x:c r="F385" s="1"/>
    </x:row>
    <x:row r="386">
      <x:c r="A386" s="1"/>
      <x:c r="B386" s="1"/>
      <x:c r="C386" s="1"/>
      <x:c r="D386" s="1"/>
      <x:c r="E386" s="1"/>
      <x:c r="F386" s="1"/>
    </x:row>
    <x:row r="387">
      <x:c r="A387" s="1"/>
      <x:c r="B387" s="1"/>
      <x:c r="C387" s="1"/>
      <x:c r="D387" s="1"/>
      <x:c r="E387" s="1"/>
      <x:c r="F387" s="1"/>
    </x:row>
    <x:row r="388">
      <x:c r="A388" s="1"/>
      <x:c r="B388" s="1"/>
      <x:c r="C388" s="1"/>
      <x:c r="D388" s="1"/>
      <x:c r="E388" s="1"/>
      <x:c r="F388" s="1"/>
    </x:row>
    <x:row r="389">
      <x:c r="A389" s="1"/>
      <x:c r="B389" s="1"/>
      <x:c r="C389" s="1"/>
      <x:c r="D389" s="1"/>
      <x:c r="E389" s="1"/>
      <x:c r="F389" s="1"/>
    </x:row>
    <x:row r="390">
      <x:c r="A390" s="1"/>
      <x:c r="B390" s="1"/>
      <x:c r="C390" s="1"/>
      <x:c r="D390" s="1"/>
      <x:c r="E390" s="1"/>
      <x:c r="F390" s="1"/>
    </x:row>
    <x:row r="391">
      <x:c r="A391" s="1"/>
      <x:c r="B391" s="1"/>
      <x:c r="C391" s="1"/>
      <x:c r="D391" s="1"/>
      <x:c r="E391" s="1"/>
      <x:c r="F391" s="1"/>
    </x:row>
    <x:row r="392">
      <x:c r="A392" s="1"/>
      <x:c r="B392" s="1"/>
      <x:c r="C392" s="1"/>
      <x:c r="D392" s="1"/>
      <x:c r="E392" s="1"/>
      <x:c r="F392" s="1"/>
    </x:row>
    <x:row r="393">
      <x:c r="A393" s="1"/>
      <x:c r="B393" s="1"/>
      <x:c r="C393" s="1"/>
      <x:c r="D393" s="1"/>
      <x:c r="E393" s="1"/>
      <x:c r="F393" s="1"/>
    </x:row>
    <x:row r="394">
      <x:c r="A394" s="1"/>
      <x:c r="B394" s="1"/>
      <x:c r="C394" s="1"/>
      <x:c r="D394" s="1"/>
      <x:c r="E394" s="1"/>
      <x:c r="F394" s="1"/>
    </x:row>
    <x:row r="395">
      <x:c r="A395" s="1"/>
      <x:c r="B395" s="1"/>
      <x:c r="C395" s="1"/>
      <x:c r="D395" s="1"/>
      <x:c r="E395" s="1"/>
      <x:c r="F395" s="1"/>
    </x:row>
    <x:row r="396">
      <x:c r="A396" s="1"/>
      <x:c r="B396" s="1"/>
      <x:c r="C396" s="1"/>
      <x:c r="D396" s="1"/>
      <x:c r="E396" s="1"/>
      <x:c r="F396" s="1"/>
    </x:row>
    <x:row r="397">
      <x:c r="A397" s="1"/>
      <x:c r="B397" s="1"/>
      <x:c r="C397" s="1"/>
      <x:c r="D397" s="1"/>
      <x:c r="E397" s="1"/>
      <x:c r="F397" s="1"/>
    </x:row>
    <x:row r="398">
      <x:c r="A398" s="1"/>
      <x:c r="B398" s="1"/>
      <x:c r="C398" s="1"/>
      <x:c r="D398" s="1"/>
      <x:c r="E398" s="1"/>
      <x:c r="F398" s="1"/>
    </x:row>
    <x:row r="399">
      <x:c r="A399" s="1"/>
      <x:c r="B399" s="1"/>
      <x:c r="C399" s="1"/>
      <x:c r="D399" s="1"/>
      <x:c r="E399" s="1"/>
      <x:c r="F399" s="1"/>
    </x:row>
    <x:row r="400">
      <x:c r="A400" s="1"/>
      <x:c r="B400" s="1"/>
      <x:c r="C400" s="1"/>
      <x:c r="D400" s="1"/>
      <x:c r="E400" s="1"/>
      <x:c r="F400" s="1"/>
    </x:row>
    <x:row r="401">
      <x:c r="A401" s="1"/>
      <x:c r="B401" s="1"/>
      <x:c r="C401" s="1"/>
      <x:c r="D401" s="1"/>
      <x:c r="E401" s="1"/>
      <x:c r="F401" s="1"/>
    </x:row>
    <x:row r="402">
      <x:c r="A402" s="1"/>
      <x:c r="B402" s="1"/>
      <x:c r="C402" s="1"/>
      <x:c r="D402" s="1"/>
      <x:c r="E402" s="1"/>
      <x:c r="F402" s="1"/>
    </x:row>
    <x:row r="403">
      <x:c r="A403" s="1"/>
      <x:c r="B403" s="1"/>
      <x:c r="C403" s="1"/>
      <x:c r="D403" s="1"/>
      <x:c r="E403" s="1"/>
      <x:c r="F403" s="1"/>
    </x:row>
    <x:row r="404">
      <x:c r="A404" s="1"/>
      <x:c r="B404" s="1"/>
      <x:c r="C404" s="1"/>
      <x:c r="D404" s="1"/>
      <x:c r="E404" s="1"/>
      <x:c r="F404" s="1"/>
    </x:row>
    <x:row r="405">
      <x:c r="A405" s="1"/>
      <x:c r="B405" s="1"/>
      <x:c r="C405" s="1"/>
      <x:c r="D405" s="1"/>
      <x:c r="E405" s="1"/>
      <x:c r="F405" s="1"/>
    </x:row>
    <x:row r="406">
      <x:c r="A406" s="1"/>
      <x:c r="B406" s="1"/>
      <x:c r="C406" s="1"/>
      <x:c r="D406" s="1"/>
      <x:c r="E406" s="1"/>
      <x:c r="F406" s="1"/>
    </x:row>
    <x:row r="407">
      <x:c r="A407" s="1"/>
      <x:c r="B407" s="1"/>
      <x:c r="C407" s="1"/>
      <x:c r="D407" s="1"/>
      <x:c r="E407" s="1"/>
      <x:c r="F407" s="1"/>
    </x:row>
    <x:row r="408">
      <x:c r="A408" s="1"/>
      <x:c r="B408" s="1"/>
      <x:c r="C408" s="1"/>
      <x:c r="D408" s="1"/>
      <x:c r="E408" s="1"/>
      <x:c r="F408" s="1"/>
    </x:row>
    <x:row r="409">
      <x:c r="A409" s="1"/>
      <x:c r="B409" s="1"/>
      <x:c r="C409" s="1"/>
      <x:c r="D409" s="1"/>
      <x:c r="E409" s="1"/>
      <x:c r="F409" s="1"/>
    </x:row>
    <x:row r="410">
      <x:c r="A410" s="1"/>
      <x:c r="B410" s="1"/>
      <x:c r="C410" s="1"/>
      <x:c r="D410" s="1"/>
      <x:c r="E410" s="1"/>
      <x:c r="F410" s="1"/>
    </x:row>
    <x:row r="411">
      <x:c r="A411" s="1"/>
      <x:c r="B411" s="1"/>
      <x:c r="C411" s="1"/>
      <x:c r="D411" s="1"/>
      <x:c r="E411" s="1"/>
      <x:c r="F411" s="1"/>
    </x:row>
    <x:row r="412">
      <x:c r="A412" s="1"/>
      <x:c r="B412" s="1"/>
      <x:c r="C412" s="1"/>
      <x:c r="D412" s="1"/>
      <x:c r="E412" s="1"/>
      <x:c r="F412" s="1"/>
    </x:row>
    <x:row r="413">
      <x:c r="A413" s="1"/>
      <x:c r="B413" s="1"/>
      <x:c r="C413" s="1"/>
      <x:c r="D413" s="1"/>
      <x:c r="E413" s="1"/>
      <x:c r="F413" s="1"/>
    </x:row>
    <x:row r="414">
      <x:c r="A414" s="1"/>
      <x:c r="B414" s="1"/>
      <x:c r="C414" s="1"/>
      <x:c r="D414" s="1"/>
      <x:c r="E414" s="1"/>
      <x:c r="F414" s="1"/>
    </x:row>
    <x:row r="415">
      <x:c r="A415" s="1"/>
      <x:c r="B415" s="1"/>
      <x:c r="C415" s="1"/>
      <x:c r="D415" s="1"/>
      <x:c r="E415" s="1"/>
      <x:c r="F415" s="1"/>
    </x:row>
    <x:row r="416">
      <x:c r="A416" s="1"/>
      <x:c r="B416" s="1"/>
      <x:c r="C416" s="1"/>
      <x:c r="D416" s="1"/>
      <x:c r="E416" s="1"/>
      <x:c r="F416" s="1"/>
    </x:row>
    <x:row r="417">
      <x:c r="A417" s="1"/>
      <x:c r="B417" s="1"/>
      <x:c r="C417" s="1"/>
      <x:c r="D417" s="1"/>
      <x:c r="E417" s="1"/>
      <x:c r="F417" s="1"/>
    </x:row>
    <x:row r="418">
      <x:c r="A418" s="1"/>
      <x:c r="B418" s="1"/>
      <x:c r="C418" s="1"/>
      <x:c r="D418" s="1"/>
      <x:c r="E418" s="1"/>
      <x:c r="F418" s="1"/>
    </x:row>
    <x:row r="419">
      <x:c r="A419" s="1"/>
      <x:c r="B419" s="1"/>
      <x:c r="C419" s="1"/>
      <x:c r="D419" s="1"/>
      <x:c r="E419" s="1"/>
      <x:c r="F419" s="1"/>
    </x:row>
    <x:row r="420">
      <x:c r="A420" s="1"/>
      <x:c r="B420" s="1"/>
      <x:c r="C420" s="1"/>
      <x:c r="D420" s="1"/>
      <x:c r="E420" s="1"/>
      <x:c r="F420" s="1"/>
    </x:row>
    <x:row r="421">
      <x:c r="A421" s="1"/>
      <x:c r="B421" s="1"/>
      <x:c r="C421" s="1"/>
      <x:c r="D421" s="1"/>
      <x:c r="E421" s="1"/>
      <x:c r="F421" s="1"/>
    </x:row>
    <x:row r="422">
      <x:c r="A422" s="1"/>
      <x:c r="B422" s="1"/>
      <x:c r="C422" s="1"/>
      <x:c r="D422" s="1"/>
      <x:c r="E422" s="1"/>
      <x:c r="F422" s="1"/>
    </x:row>
    <x:row r="423">
      <x:c r="A423" s="1"/>
      <x:c r="B423" s="1"/>
      <x:c r="C423" s="1"/>
      <x:c r="D423" s="1"/>
      <x:c r="E423" s="1"/>
      <x:c r="F423" s="1"/>
    </x:row>
    <x:row r="424">
      <x:c r="A424" s="1"/>
      <x:c r="B424" s="1"/>
      <x:c r="C424" s="1"/>
      <x:c r="D424" s="1"/>
      <x:c r="E424" s="1"/>
      <x:c r="F424" s="1"/>
    </x:row>
    <x:row r="425">
      <x:c r="A425" s="1"/>
      <x:c r="B425" s="1"/>
      <x:c r="C425" s="1"/>
      <x:c r="D425" s="1"/>
      <x:c r="E425" s="1"/>
      <x:c r="F425" s="1"/>
    </x:row>
    <x:row r="426">
      <x:c r="A426" s="1"/>
      <x:c r="B426" s="1"/>
      <x:c r="C426" s="1"/>
      <x:c r="D426" s="1"/>
      <x:c r="E426" s="1"/>
      <x:c r="F426" s="1"/>
    </x:row>
    <x:row r="427">
      <x:c r="A427" s="1"/>
      <x:c r="B427" s="1"/>
      <x:c r="C427" s="1"/>
      <x:c r="D427" s="1"/>
      <x:c r="E427" s="1"/>
      <x:c r="F427" s="1"/>
    </x:row>
    <x:row r="428">
      <x:c r="A428" s="1"/>
      <x:c r="B428" s="1"/>
      <x:c r="C428" s="1"/>
      <x:c r="D428" s="1"/>
      <x:c r="E428" s="1"/>
      <x:c r="F428" s="1"/>
    </x:row>
    <x:row r="429">
      <x:c r="A429" s="1"/>
      <x:c r="B429" s="1"/>
      <x:c r="C429" s="1"/>
      <x:c r="D429" s="1"/>
      <x:c r="E429" s="1"/>
      <x:c r="F429" s="1"/>
    </x:row>
    <x:row r="430">
      <x:c r="A430" s="1"/>
      <x:c r="B430" s="1"/>
      <x:c r="C430" s="1"/>
      <x:c r="D430" s="1"/>
      <x:c r="E430" s="1"/>
      <x:c r="F430" s="1"/>
    </x:row>
    <x:row r="431">
      <x:c r="A431" s="1"/>
      <x:c r="B431" s="1"/>
      <x:c r="C431" s="1"/>
      <x:c r="D431" s="1"/>
      <x:c r="E431" s="1"/>
      <x:c r="F431" s="1"/>
    </x:row>
    <x:row r="432">
      <x:c r="A432" s="1"/>
      <x:c r="B432" s="1"/>
      <x:c r="C432" s="1"/>
      <x:c r="D432" s="1"/>
      <x:c r="E432" s="1"/>
      <x:c r="F432" s="1"/>
    </x:row>
    <x:row r="433">
      <x:c r="A433" s="1"/>
      <x:c r="B433" s="1"/>
      <x:c r="C433" s="1"/>
      <x:c r="D433" s="1"/>
      <x:c r="E433" s="1"/>
      <x:c r="F433" s="1"/>
    </x:row>
    <x:row r="434">
      <x:c r="A434" s="1"/>
      <x:c r="B434" s="1"/>
      <x:c r="C434" s="1"/>
      <x:c r="D434" s="1"/>
      <x:c r="E434" s="1"/>
      <x:c r="F434" s="1"/>
    </x:row>
    <x:row r="435">
      <x:c r="A435" s="1"/>
      <x:c r="B435" s="1"/>
      <x:c r="C435" s="1"/>
      <x:c r="D435" s="1"/>
      <x:c r="E435" s="1"/>
      <x:c r="F435" s="1"/>
    </x:row>
    <x:row r="436">
      <x:c r="A436" s="1"/>
      <x:c r="B436" s="1"/>
      <x:c r="C436" s="1"/>
      <x:c r="D436" s="1"/>
      <x:c r="E436" s="1"/>
      <x:c r="F436" s="1"/>
    </x:row>
    <x:row r="437">
      <x:c r="A437" s="1"/>
      <x:c r="B437" s="1"/>
      <x:c r="C437" s="1"/>
      <x:c r="D437" s="1"/>
      <x:c r="E437" s="1"/>
      <x:c r="F437" s="1"/>
    </x:row>
    <x:row r="438">
      <x:c r="A438" s="1"/>
      <x:c r="B438" s="1"/>
      <x:c r="C438" s="1"/>
      <x:c r="D438" s="1"/>
      <x:c r="E438" s="1"/>
      <x:c r="F438" s="1"/>
    </x:row>
    <x:row r="439">
      <x:c r="A439" s="1"/>
      <x:c r="B439" s="1"/>
      <x:c r="C439" s="1"/>
      <x:c r="D439" s="1"/>
      <x:c r="E439" s="1"/>
      <x:c r="F439" s="1"/>
    </x:row>
    <x:row r="440">
      <x:c r="A440" s="1"/>
      <x:c r="B440" s="1"/>
      <x:c r="C440" s="1"/>
      <x:c r="D440" s="1"/>
      <x:c r="E440" s="1"/>
      <x:c r="F440" s="1"/>
    </x:row>
    <x:row r="441">
      <x:c r="A441" s="1"/>
      <x:c r="B441" s="1"/>
      <x:c r="C441" s="1"/>
      <x:c r="D441" s="1"/>
      <x:c r="E441" s="1"/>
      <x:c r="F441" s="1"/>
    </x:row>
    <x:row r="442">
      <x:c r="A442" s="1"/>
      <x:c r="B442" s="1"/>
      <x:c r="C442" s="1"/>
      <x:c r="D442" s="1"/>
      <x:c r="E442" s="1"/>
      <x:c r="F442" s="1"/>
    </x:row>
    <x:row r="443">
      <x:c r="A443" s="1"/>
      <x:c r="B443" s="1"/>
      <x:c r="C443" s="1"/>
      <x:c r="D443" s="1"/>
      <x:c r="E443" s="1"/>
      <x:c r="F443" s="1"/>
    </x:row>
    <x:row r="444">
      <x:c r="A444" s="1"/>
      <x:c r="B444" s="1"/>
      <x:c r="C444" s="1"/>
      <x:c r="D444" s="1"/>
      <x:c r="E444" s="1"/>
      <x:c r="F444" s="1"/>
    </x:row>
    <x:row r="445">
      <x:c r="A445" s="1"/>
      <x:c r="B445" s="1"/>
      <x:c r="C445" s="1"/>
      <x:c r="D445" s="1"/>
      <x:c r="E445" s="1"/>
      <x:c r="F445" s="1"/>
    </x:row>
    <x:row r="446">
      <x:c r="A446" s="1"/>
      <x:c r="B446" s="1"/>
      <x:c r="C446" s="1"/>
      <x:c r="D446" s="1"/>
      <x:c r="E446" s="1"/>
      <x:c r="F446" s="1"/>
    </x:row>
    <x:row r="447">
      <x:c r="A447" s="1"/>
      <x:c r="B447" s="1"/>
      <x:c r="C447" s="1"/>
      <x:c r="D447" s="1"/>
      <x:c r="E447" s="1"/>
      <x:c r="F447" s="1"/>
    </x:row>
    <x:row r="448">
      <x:c r="A448" s="1"/>
      <x:c r="B448" s="1"/>
      <x:c r="C448" s="1"/>
      <x:c r="D448" s="1"/>
      <x:c r="E448" s="1"/>
      <x:c r="F448" s="1"/>
    </x:row>
    <x:row r="449">
      <x:c r="A449" s="1"/>
      <x:c r="B449" s="1"/>
      <x:c r="C449" s="1"/>
      <x:c r="D449" s="1"/>
      <x:c r="E449" s="1"/>
      <x:c r="F449" s="1"/>
    </x:row>
    <x:row r="450">
      <x:c r="A450" s="1"/>
      <x:c r="B450" s="1"/>
      <x:c r="C450" s="1"/>
      <x:c r="D450" s="1"/>
      <x:c r="E450" s="1"/>
      <x:c r="F450" s="1"/>
    </x:row>
    <x:row r="451">
      <x:c r="A451" s="1"/>
      <x:c r="B451" s="1"/>
      <x:c r="C451" s="1"/>
      <x:c r="D451" s="1"/>
      <x:c r="E451" s="1"/>
      <x:c r="F451" s="1"/>
    </x:row>
    <x:row r="452">
      <x:c r="A452" s="1"/>
      <x:c r="B452" s="1"/>
      <x:c r="C452" s="1"/>
      <x:c r="D452" s="1"/>
      <x:c r="E452" s="1"/>
      <x:c r="F452" s="1"/>
    </x:row>
    <x:row r="453">
      <x:c r="A453" s="1"/>
      <x:c r="B453" s="1"/>
      <x:c r="C453" s="1"/>
      <x:c r="D453" s="1"/>
      <x:c r="E453" s="1"/>
      <x:c r="F453" s="1"/>
    </x:row>
    <x:row r="454">
      <x:c r="A454" s="1"/>
      <x:c r="B454" s="1"/>
      <x:c r="C454" s="1"/>
      <x:c r="D454" s="1"/>
      <x:c r="E454" s="1"/>
      <x:c r="F454" s="1"/>
    </x:row>
    <x:row r="455">
      <x:c r="A455" s="1"/>
      <x:c r="B455" s="1"/>
      <x:c r="C455" s="1"/>
      <x:c r="D455" s="1"/>
      <x:c r="E455" s="1"/>
      <x:c r="F455" s="1"/>
    </x:row>
    <x:row r="456">
      <x:c r="A456" s="1"/>
      <x:c r="B456" s="1"/>
      <x:c r="C456" s="1"/>
      <x:c r="D456" s="1"/>
      <x:c r="E456" s="1"/>
      <x:c r="F456" s="1"/>
    </x:row>
    <x:row r="457">
      <x:c r="A457" s="1"/>
      <x:c r="B457" s="1"/>
      <x:c r="C457" s="1"/>
      <x:c r="D457" s="1"/>
      <x:c r="E457" s="1"/>
      <x:c r="F457" s="1"/>
    </x:row>
    <x:row r="458">
      <x:c r="A458" s="1"/>
      <x:c r="B458" s="1"/>
      <x:c r="C458" s="1"/>
      <x:c r="D458" s="1"/>
      <x:c r="E458" s="1"/>
      <x:c r="F458" s="1"/>
    </x:row>
    <x:row r="459">
      <x:c r="A459" s="1"/>
      <x:c r="B459" s="1"/>
      <x:c r="C459" s="1"/>
      <x:c r="D459" s="1"/>
      <x:c r="E459" s="1"/>
      <x:c r="F459" s="1"/>
    </x:row>
    <x:row r="460">
      <x:c r="A460" s="1"/>
      <x:c r="B460" s="1"/>
      <x:c r="C460" s="1"/>
      <x:c r="D460" s="1"/>
      <x:c r="E460" s="1"/>
      <x:c r="F460" s="1"/>
    </x:row>
    <x:row r="461">
      <x:c r="A461" s="1"/>
      <x:c r="B461" s="1"/>
      <x:c r="C461" s="1"/>
      <x:c r="D461" s="1"/>
      <x:c r="E461" s="1"/>
      <x:c r="F461" s="1"/>
    </x:row>
    <x:row r="462">
      <x:c r="A462" s="1"/>
      <x:c r="B462" s="1"/>
      <x:c r="C462" s="1"/>
      <x:c r="D462" s="1"/>
      <x:c r="E462" s="1"/>
      <x:c r="F462" s="1"/>
    </x:row>
    <x:row r="463">
      <x:c r="A463" s="1"/>
      <x:c r="B463" s="1"/>
      <x:c r="C463" s="1"/>
      <x:c r="D463" s="1"/>
      <x:c r="E463" s="1"/>
      <x:c r="F463" s="1"/>
    </x:row>
    <x:row r="464">
      <x:c r="A464" s="1"/>
      <x:c r="B464" s="1"/>
      <x:c r="C464" s="1"/>
      <x:c r="D464" s="1"/>
      <x:c r="E464" s="1"/>
      <x:c r="F464" s="1"/>
    </x:row>
    <x:row r="465">
      <x:c r="A465" s="1"/>
      <x:c r="B465" s="1"/>
      <x:c r="C465" s="1"/>
      <x:c r="D465" s="1"/>
      <x:c r="E465" s="1"/>
      <x:c r="F465" s="1"/>
    </x:row>
    <x:row r="466">
      <x:c r="A466" s="1"/>
      <x:c r="B466" s="1"/>
      <x:c r="C466" s="1"/>
      <x:c r="D466" s="1"/>
      <x:c r="E466" s="1"/>
      <x:c r="F466" s="1"/>
    </x:row>
    <x:row r="467">
      <x:c r="A467" s="1"/>
      <x:c r="B467" s="1"/>
      <x:c r="C467" s="1"/>
      <x:c r="D467" s="1"/>
      <x:c r="E467" s="1"/>
      <x:c r="F467" s="1"/>
    </x:row>
    <x:row r="468">
      <x:c r="A468" s="1"/>
      <x:c r="B468" s="1"/>
      <x:c r="C468" s="1"/>
      <x:c r="D468" s="1"/>
      <x:c r="E468" s="1"/>
      <x:c r="F468" s="1"/>
    </x:row>
    <x:row r="469">
      <x:c r="A469" s="1"/>
      <x:c r="B469" s="1"/>
      <x:c r="C469" s="1"/>
      <x:c r="D469" s="1"/>
      <x:c r="E469" s="1"/>
      <x:c r="F469" s="1"/>
    </x:row>
    <x:row r="470">
      <x:c r="A470" s="1"/>
      <x:c r="B470" s="1"/>
      <x:c r="C470" s="1"/>
      <x:c r="D470" s="1"/>
      <x:c r="E470" s="1"/>
      <x:c r="F470" s="1"/>
    </x:row>
    <x:row r="471">
      <x:c r="A471" s="1"/>
      <x:c r="B471" s="1"/>
      <x:c r="C471" s="1"/>
      <x:c r="D471" s="1"/>
      <x:c r="E471" s="1"/>
      <x:c r="F471" s="1"/>
    </x:row>
    <x:row r="472">
      <x:c r="A472" s="1"/>
      <x:c r="B472" s="1"/>
      <x:c r="C472" s="1"/>
      <x:c r="D472" s="1"/>
      <x:c r="E472" s="1"/>
      <x:c r="F472" s="1"/>
    </x:row>
    <x:row r="473">
      <x:c r="A473" s="1"/>
      <x:c r="B473" s="1"/>
      <x:c r="C473" s="1"/>
      <x:c r="D473" s="1"/>
      <x:c r="E473" s="1"/>
      <x:c r="F473" s="1"/>
    </x:row>
    <x:row r="474">
      <x:c r="A474" s="1"/>
      <x:c r="B474" s="1"/>
      <x:c r="C474" s="1"/>
      <x:c r="D474" s="1"/>
      <x:c r="E474" s="1"/>
      <x:c r="F474" s="1"/>
    </x:row>
    <x:row r="475">
      <x:c r="A475" s="1"/>
      <x:c r="B475" s="1"/>
      <x:c r="C475" s="1"/>
      <x:c r="D475" s="1"/>
      <x:c r="E475" s="1"/>
      <x:c r="F475" s="1"/>
    </x:row>
    <x:row r="476">
      <x:c r="A476" s="1"/>
      <x:c r="B476" s="1"/>
      <x:c r="C476" s="1"/>
      <x:c r="D476" s="1"/>
      <x:c r="E476" s="1"/>
      <x:c r="F476" s="1"/>
    </x:row>
    <x:row r="477">
      <x:c r="A477" s="1"/>
      <x:c r="B477" s="1"/>
      <x:c r="C477" s="1"/>
      <x:c r="D477" s="1"/>
      <x:c r="E477" s="1"/>
      <x:c r="F477" s="1"/>
    </x:row>
    <x:row r="478">
      <x:c r="A478" s="1"/>
      <x:c r="B478" s="1"/>
      <x:c r="C478" s="1"/>
      <x:c r="D478" s="1"/>
      <x:c r="E478" s="1"/>
      <x:c r="F478" s="1"/>
    </x:row>
    <x:row r="479">
      <x:c r="A479" s="1"/>
      <x:c r="B479" s="1"/>
      <x:c r="C479" s="1"/>
      <x:c r="D479" s="1"/>
      <x:c r="E479" s="1"/>
      <x:c r="F479" s="1"/>
    </x:row>
    <x:row r="480">
      <x:c r="A480" s="1"/>
      <x:c r="B480" s="1"/>
      <x:c r="C480" s="1"/>
      <x:c r="D480" s="1"/>
      <x:c r="E480" s="1"/>
      <x:c r="F480" s="1"/>
    </x:row>
    <x:row r="481">
      <x:c r="A481" s="1"/>
      <x:c r="B481" s="1"/>
      <x:c r="C481" s="1"/>
      <x:c r="D481" s="1"/>
      <x:c r="E481" s="1"/>
      <x:c r="F481" s="1"/>
    </x:row>
    <x:row r="482">
      <x:c r="A482" s="1"/>
      <x:c r="B482" s="1"/>
      <x:c r="C482" s="1"/>
      <x:c r="D482" s="1"/>
      <x:c r="E482" s="1"/>
      <x:c r="F482" s="1"/>
    </x:row>
    <x:row r="483">
      <x:c r="A483" s="1"/>
      <x:c r="B483" s="1"/>
      <x:c r="C483" s="1"/>
      <x:c r="D483" s="1"/>
      <x:c r="E483" s="1"/>
      <x:c r="F483" s="1"/>
    </x:row>
    <x:row r="484">
      <x:c r="A484" s="1"/>
      <x:c r="B484" s="1"/>
      <x:c r="C484" s="1"/>
      <x:c r="D484" s="1"/>
      <x:c r="E484" s="1"/>
      <x:c r="F484" s="1"/>
    </x:row>
    <x:row r="485">
      <x:c r="A485" s="1"/>
      <x:c r="B485" s="1"/>
      <x:c r="C485" s="1"/>
      <x:c r="D485" s="1"/>
      <x:c r="E485" s="1"/>
      <x:c r="F485" s="1"/>
    </x:row>
    <x:row r="486">
      <x:c r="A486" s="1"/>
      <x:c r="B486" s="1"/>
      <x:c r="C486" s="1"/>
      <x:c r="D486" s="1"/>
      <x:c r="E486" s="1"/>
      <x:c r="F486" s="1"/>
    </x:row>
    <x:row r="487">
      <x:c r="A487" s="1"/>
      <x:c r="B487" s="1"/>
      <x:c r="C487" s="1"/>
      <x:c r="D487" s="1"/>
      <x:c r="E487" s="1"/>
      <x:c r="F487" s="1"/>
    </x:row>
    <x:row r="488">
      <x:c r="A488" s="1"/>
      <x:c r="B488" s="1"/>
      <x:c r="C488" s="1"/>
      <x:c r="D488" s="1"/>
      <x:c r="E488" s="1"/>
      <x:c r="F488" s="1"/>
    </x:row>
    <x:row r="489">
      <x:c r="A489" s="1"/>
      <x:c r="B489" s="1"/>
      <x:c r="C489" s="1"/>
      <x:c r="D489" s="1"/>
      <x:c r="E489" s="1"/>
      <x:c r="F489" s="1"/>
    </x:row>
    <x:row r="490">
      <x:c r="A490" s="1"/>
      <x:c r="B490" s="1"/>
      <x:c r="C490" s="1"/>
      <x:c r="D490" s="1"/>
      <x:c r="E490" s="1"/>
      <x:c r="F490" s="1"/>
    </x:row>
    <x:row r="491">
      <x:c r="A491" s="1"/>
      <x:c r="B491" s="1"/>
      <x:c r="C491" s="1"/>
      <x:c r="D491" s="1"/>
      <x:c r="E491" s="1"/>
      <x:c r="F491" s="1"/>
    </x:row>
    <x:row r="492">
      <x:c r="A492" s="1"/>
      <x:c r="B492" s="1"/>
      <x:c r="C492" s="1"/>
      <x:c r="D492" s="1"/>
      <x:c r="E492" s="1"/>
      <x:c r="F492" s="1"/>
    </x:row>
    <x:row r="493">
      <x:c r="A493" s="1"/>
      <x:c r="B493" s="1"/>
      <x:c r="C493" s="1"/>
      <x:c r="D493" s="1"/>
      <x:c r="E493" s="1"/>
      <x:c r="F493" s="1"/>
    </x:row>
    <x:row r="494">
      <x:c r="A494" s="1"/>
      <x:c r="B494" s="1"/>
      <x:c r="C494" s="1"/>
      <x:c r="D494" s="1"/>
      <x:c r="E494" s="1"/>
      <x:c r="F494" s="1"/>
    </x:row>
    <x:row r="495">
      <x:c r="A495" s="1"/>
      <x:c r="B495" s="1"/>
      <x:c r="C495" s="1"/>
      <x:c r="D495" s="1"/>
      <x:c r="E495" s="1"/>
      <x:c r="F495" s="1"/>
    </x:row>
    <x:row r="496">
      <x:c r="A496" s="1"/>
      <x:c r="B496" s="1"/>
      <x:c r="C496" s="1"/>
      <x:c r="D496" s="1"/>
      <x:c r="E496" s="1"/>
      <x:c r="F496" s="1"/>
    </x:row>
    <x:row r="497">
      <x:c r="A497" s="1"/>
      <x:c r="B497" s="1"/>
      <x:c r="C497" s="1"/>
      <x:c r="D497" s="1"/>
      <x:c r="E497" s="1"/>
      <x:c r="F497" s="1"/>
    </x:row>
    <x:row r="498">
      <x:c r="A498" s="1"/>
      <x:c r="B498" s="1"/>
      <x:c r="C498" s="1"/>
      <x:c r="D498" s="1"/>
      <x:c r="E498" s="1"/>
      <x:c r="F498" s="1"/>
    </x:row>
    <x:row r="499">
      <x:c r="A499" s="1"/>
      <x:c r="B499" s="1"/>
      <x:c r="C499" s="1"/>
      <x:c r="D499" s="1"/>
      <x:c r="E499" s="1"/>
      <x:c r="F499" s="1"/>
    </x:row>
    <x:row r="500">
      <x:c r="A500" s="1"/>
      <x:c r="B500" s="1"/>
      <x:c r="C500" s="1"/>
      <x:c r="D500" s="1"/>
      <x:c r="E500" s="1"/>
      <x:c r="F500" s="1"/>
    </x:row>
    <x:row r="501">
      <x:c r="A501" s="1"/>
      <x:c r="B501" s="1"/>
      <x:c r="C501" s="1"/>
      <x:c r="D501" s="1"/>
      <x:c r="E501" s="1"/>
      <x:c r="F501" s="1"/>
    </x:row>
    <x:row r="502">
      <x:c r="A502" s="1"/>
      <x:c r="B502" s="1"/>
      <x:c r="C502" s="1"/>
      <x:c r="D502" s="1"/>
      <x:c r="E502" s="1"/>
      <x:c r="F502" s="1"/>
    </x:row>
    <x:row r="503">
      <x:c r="A503" s="1"/>
      <x:c r="B503" s="1"/>
      <x:c r="C503" s="1"/>
      <x:c r="D503" s="1"/>
      <x:c r="E503" s="1"/>
      <x:c r="F503" s="1"/>
    </x:row>
    <x:row r="504">
      <x:c r="A504" s="1"/>
      <x:c r="B504" s="1"/>
      <x:c r="C504" s="1"/>
      <x:c r="D504" s="1"/>
      <x:c r="E504" s="1"/>
      <x:c r="F504" s="1"/>
    </x:row>
    <x:row r="505">
      <x:c r="A505" s="1"/>
      <x:c r="B505" s="1"/>
      <x:c r="C505" s="1"/>
      <x:c r="D505" s="1"/>
      <x:c r="E505" s="1"/>
      <x:c r="F505" s="1"/>
    </x:row>
    <x:row r="506">
      <x:c r="A506" s="1"/>
      <x:c r="B506" s="1"/>
      <x:c r="C506" s="1"/>
      <x:c r="D506" s="1"/>
      <x:c r="E506" s="1"/>
      <x:c r="F506" s="1"/>
    </x:row>
    <x:row r="507">
      <x:c r="A507" s="1"/>
      <x:c r="B507" s="1"/>
      <x:c r="C507" s="1"/>
      <x:c r="D507" s="1"/>
      <x:c r="E507" s="1"/>
      <x:c r="F507" s="1"/>
    </x:row>
    <x:row r="508">
      <x:c r="A508" s="1"/>
      <x:c r="B508" s="1"/>
      <x:c r="C508" s="1"/>
      <x:c r="D508" s="1"/>
      <x:c r="E508" s="1"/>
      <x:c r="F508" s="1"/>
    </x:row>
    <x:row r="509">
      <x:c r="A509" s="1"/>
      <x:c r="B509" s="1"/>
      <x:c r="C509" s="1"/>
      <x:c r="D509" s="1"/>
      <x:c r="E509" s="1"/>
      <x:c r="F509" s="1"/>
    </x:row>
    <x:row r="510">
      <x:c r="A510" s="1"/>
      <x:c r="B510" s="1"/>
      <x:c r="C510" s="1"/>
      <x:c r="D510" s="1"/>
      <x:c r="E510" s="1"/>
      <x:c r="F510" s="1"/>
    </x:row>
    <x:row r="511">
      <x:c r="A511" s="1"/>
      <x:c r="B511" s="1"/>
      <x:c r="C511" s="1"/>
      <x:c r="D511" s="1"/>
      <x:c r="E511" s="1"/>
      <x:c r="F511" s="1"/>
    </x:row>
    <x:row r="512">
      <x:c r="A512" s="1"/>
      <x:c r="B512" s="1"/>
      <x:c r="C512" s="1"/>
      <x:c r="D512" s="1"/>
      <x:c r="E512" s="1"/>
      <x:c r="F512" s="1"/>
    </x:row>
    <x:row r="513">
      <x:c r="A513" s="1"/>
      <x:c r="B513" s="1"/>
      <x:c r="C513" s="1"/>
      <x:c r="D513" s="1"/>
      <x:c r="E513" s="1"/>
      <x:c r="F513" s="1"/>
    </x:row>
    <x:row r="514">
      <x:c r="A514" s="1"/>
      <x:c r="B514" s="1"/>
      <x:c r="C514" s="1"/>
      <x:c r="D514" s="1"/>
      <x:c r="E514" s="1"/>
      <x:c r="F514" s="1"/>
    </x:row>
    <x:row r="515">
      <x:c r="A515" s="1"/>
      <x:c r="B515" s="1"/>
      <x:c r="C515" s="1"/>
      <x:c r="D515" s="1"/>
      <x:c r="E515" s="1"/>
      <x:c r="F515" s="1"/>
    </x:row>
    <x:row r="516">
      <x:c r="A516" s="1"/>
      <x:c r="B516" s="1"/>
      <x:c r="C516" s="1"/>
      <x:c r="D516" s="1"/>
      <x:c r="E516" s="1"/>
      <x:c r="F516" s="1"/>
    </x:row>
    <x:row r="517">
      <x:c r="A517" s="1"/>
      <x:c r="B517" s="1"/>
      <x:c r="C517" s="1"/>
      <x:c r="D517" s="1"/>
      <x:c r="E517" s="1"/>
      <x:c r="F517" s="1"/>
    </x:row>
    <x:row r="518">
      <x:c r="A518" s="1"/>
      <x:c r="B518" s="1"/>
      <x:c r="C518" s="1"/>
      <x:c r="D518" s="1"/>
      <x:c r="E518" s="1"/>
      <x:c r="F518" s="1"/>
    </x:row>
    <x:row r="519">
      <x:c r="A519" s="1"/>
      <x:c r="B519" s="1"/>
      <x:c r="C519" s="1"/>
      <x:c r="D519" s="1"/>
      <x:c r="E519" s="1"/>
      <x:c r="F519" s="1"/>
    </x:row>
    <x:row r="520">
      <x:c r="A520" s="1"/>
      <x:c r="B520" s="1"/>
      <x:c r="C520" s="1"/>
      <x:c r="D520" s="1"/>
      <x:c r="E520" s="1"/>
      <x:c r="F520" s="1"/>
    </x:row>
    <x:row r="521">
      <x:c r="A521" s="1"/>
      <x:c r="B521" s="1"/>
      <x:c r="C521" s="1"/>
      <x:c r="D521" s="1"/>
      <x:c r="E521" s="1"/>
      <x:c r="F521" s="1"/>
    </x:row>
    <x:row r="522">
      <x:c r="A522" s="1"/>
      <x:c r="B522" s="1"/>
      <x:c r="C522" s="1"/>
      <x:c r="D522" s="1"/>
      <x:c r="E522" s="1"/>
      <x:c r="F522" s="1"/>
    </x:row>
    <x:row r="523">
      <x:c r="A523" s="1"/>
      <x:c r="B523" s="1"/>
      <x:c r="C523" s="1"/>
      <x:c r="D523" s="1"/>
      <x:c r="E523" s="1"/>
      <x:c r="F523" s="1"/>
    </x:row>
    <x:row r="524">
      <x:c r="A524" s="1"/>
      <x:c r="B524" s="1"/>
      <x:c r="C524" s="1"/>
      <x:c r="D524" s="1"/>
      <x:c r="E524" s="1"/>
      <x:c r="F524" s="1"/>
    </x:row>
    <x:row r="525">
      <x:c r="A525" s="1"/>
      <x:c r="B525" s="1"/>
      <x:c r="C525" s="1"/>
      <x:c r="D525" s="1"/>
      <x:c r="E525" s="1"/>
      <x:c r="F525" s="1"/>
    </x:row>
    <x:row r="526">
      <x:c r="A526" s="1"/>
      <x:c r="B526" s="1"/>
      <x:c r="C526" s="1"/>
      <x:c r="D526" s="1"/>
      <x:c r="E526" s="1"/>
      <x:c r="F526" s="1"/>
    </x:row>
    <x:row r="527">
      <x:c r="A527" s="1"/>
      <x:c r="B527" s="1"/>
      <x:c r="C527" s="1"/>
      <x:c r="D527" s="1"/>
      <x:c r="E527" s="1"/>
      <x:c r="F527" s="1"/>
    </x:row>
    <x:row r="528">
      <x:c r="A528" s="1"/>
      <x:c r="B528" s="1"/>
      <x:c r="C528" s="1"/>
      <x:c r="D528" s="1"/>
      <x:c r="E528" s="1"/>
      <x:c r="F528" s="1"/>
    </x:row>
    <x:row r="529">
      <x:c r="A529" s="1"/>
      <x:c r="B529" s="1"/>
      <x:c r="C529" s="1"/>
      <x:c r="D529" s="1"/>
      <x:c r="E529" s="1"/>
      <x:c r="F529" s="1"/>
    </x:row>
    <x:row r="530">
      <x:c r="A530" s="1"/>
      <x:c r="B530" s="1"/>
      <x:c r="C530" s="1"/>
      <x:c r="D530" s="1"/>
      <x:c r="E530" s="1"/>
      <x:c r="F530" s="1"/>
    </x:row>
    <x:row r="531">
      <x:c r="A531" s="1"/>
      <x:c r="B531" s="1"/>
      <x:c r="C531" s="1"/>
      <x:c r="D531" s="1"/>
      <x:c r="E531" s="1"/>
      <x:c r="F531" s="1"/>
    </x:row>
    <x:row r="532">
      <x:c r="A532" s="1"/>
      <x:c r="B532" s="1"/>
      <x:c r="C532" s="1"/>
      <x:c r="D532" s="1"/>
      <x:c r="E532" s="1"/>
      <x:c r="F532" s="1"/>
    </x:row>
    <x:row r="533">
      <x:c r="A533" s="1"/>
      <x:c r="B533" s="1"/>
      <x:c r="C533" s="1"/>
      <x:c r="D533" s="1"/>
      <x:c r="E533" s="1"/>
      <x:c r="F533" s="1"/>
    </x:row>
    <x:row r="534">
      <x:c r="A534" s="1"/>
      <x:c r="B534" s="1"/>
      <x:c r="C534" s="1"/>
      <x:c r="D534" s="1"/>
      <x:c r="E534" s="1"/>
      <x:c r="F534" s="1"/>
    </x:row>
    <x:row r="535">
      <x:c r="A535" s="1"/>
      <x:c r="B535" s="1"/>
      <x:c r="C535" s="1"/>
      <x:c r="D535" s="1"/>
      <x:c r="E535" s="1"/>
      <x:c r="F535" s="1"/>
    </x:row>
    <x:row r="536">
      <x:c r="A536" s="1"/>
      <x:c r="B536" s="1"/>
      <x:c r="C536" s="1"/>
      <x:c r="D536" s="1"/>
      <x:c r="E536" s="1"/>
      <x:c r="F536" s="1"/>
    </x:row>
    <x:row r="537">
      <x:c r="A537" s="1"/>
      <x:c r="B537" s="1"/>
      <x:c r="C537" s="1"/>
      <x:c r="D537" s="1"/>
      <x:c r="E537" s="1"/>
      <x:c r="F537" s="1"/>
    </x:row>
    <x:row r="538">
      <x:c r="A538" s="1"/>
      <x:c r="B538" s="1"/>
      <x:c r="C538" s="1"/>
      <x:c r="D538" s="1"/>
      <x:c r="E538" s="1"/>
      <x:c r="F538" s="1"/>
    </x:row>
    <x:row r="539">
      <x:c r="A539" s="1"/>
      <x:c r="B539" s="1"/>
      <x:c r="C539" s="1"/>
      <x:c r="D539" s="1"/>
      <x:c r="E539" s="1"/>
      <x:c r="F539" s="1"/>
    </x:row>
    <x:row r="540">
      <x:c r="A540" s="1"/>
      <x:c r="B540" s="1"/>
      <x:c r="C540" s="1"/>
      <x:c r="D540" s="1"/>
      <x:c r="E540" s="1"/>
      <x:c r="F540" s="1"/>
    </x:row>
    <x:row r="541">
      <x:c r="A541" s="1"/>
      <x:c r="B541" s="1"/>
      <x:c r="C541" s="1"/>
      <x:c r="D541" s="1"/>
      <x:c r="E541" s="1"/>
      <x:c r="F541" s="1"/>
    </x:row>
    <x:row r="542">
      <x:c r="A542" s="1"/>
      <x:c r="B542" s="1"/>
      <x:c r="C542" s="1"/>
      <x:c r="D542" s="1"/>
      <x:c r="E542" s="1"/>
      <x:c r="F542" s="1"/>
    </x:row>
    <x:row r="543">
      <x:c r="A543" s="1"/>
      <x:c r="B543" s="1"/>
      <x:c r="C543" s="1"/>
      <x:c r="D543" s="1"/>
      <x:c r="E543" s="1"/>
      <x:c r="F543" s="1"/>
    </x:row>
    <x:row r="544">
      <x:c r="A544" s="1"/>
      <x:c r="B544" s="1"/>
      <x:c r="C544" s="1"/>
      <x:c r="D544" s="1"/>
      <x:c r="E544" s="1"/>
      <x:c r="F544" s="1"/>
    </x:row>
    <x:row r="545">
      <x:c r="A545" s="1"/>
      <x:c r="B545" s="1"/>
      <x:c r="C545" s="1"/>
      <x:c r="D545" s="1"/>
      <x:c r="E545" s="1"/>
      <x:c r="F545" s="1"/>
    </x:row>
    <x:row r="546">
      <x:c r="A546" s="1"/>
      <x:c r="B546" s="1"/>
      <x:c r="C546" s="1"/>
      <x:c r="D546" s="1"/>
      <x:c r="E546" s="1"/>
      <x:c r="F546" s="1"/>
    </x:row>
    <x:row r="547">
      <x:c r="A547" s="1"/>
      <x:c r="B547" s="1"/>
      <x:c r="C547" s="1"/>
      <x:c r="D547" s="1"/>
      <x:c r="E547" s="1"/>
      <x:c r="F547" s="1"/>
    </x:row>
    <x:row r="548">
      <x:c r="A548" s="1"/>
      <x:c r="B548" s="1"/>
      <x:c r="C548" s="1"/>
      <x:c r="D548" s="1"/>
      <x:c r="E548" s="1"/>
      <x:c r="F548" s="1"/>
    </x:row>
    <x:row r="549">
      <x:c r="A549" s="1"/>
      <x:c r="B549" s="1"/>
      <x:c r="C549" s="1"/>
      <x:c r="D549" s="1"/>
      <x:c r="E549" s="1"/>
      <x:c r="F549" s="1"/>
    </x:row>
    <x:row r="550">
      <x:c r="A550" s="1"/>
      <x:c r="B550" s="1"/>
      <x:c r="C550" s="1"/>
      <x:c r="D550" s="1"/>
      <x:c r="E550" s="1"/>
      <x:c r="F550" s="1"/>
    </x:row>
    <x:row r="551">
      <x:c r="A551" s="1"/>
      <x:c r="B551" s="1"/>
      <x:c r="C551" s="1"/>
      <x:c r="D551" s="1"/>
      <x:c r="E551" s="1"/>
      <x:c r="F551" s="1"/>
    </x:row>
    <x:row r="552">
      <x:c r="A552" s="1"/>
      <x:c r="B552" s="1"/>
      <x:c r="C552" s="1"/>
      <x:c r="D552" s="1"/>
      <x:c r="E552" s="1"/>
      <x:c r="F552" s="1"/>
    </x:row>
    <x:row r="553">
      <x:c r="A553" s="1"/>
      <x:c r="B553" s="1"/>
      <x:c r="C553" s="1"/>
      <x:c r="D553" s="1"/>
      <x:c r="E553" s="1"/>
      <x:c r="F553" s="1"/>
    </x:row>
    <x:row r="554">
      <x:c r="A554" s="1"/>
      <x:c r="B554" s="1"/>
      <x:c r="C554" s="1"/>
      <x:c r="D554" s="1"/>
      <x:c r="E554" s="1"/>
      <x:c r="F554" s="1"/>
    </x:row>
    <x:row r="555">
      <x:c r="A555" s="1"/>
      <x:c r="B555" s="1"/>
      <x:c r="C555" s="1"/>
      <x:c r="D555" s="1"/>
      <x:c r="E555" s="1"/>
      <x:c r="F555" s="1"/>
    </x:row>
    <x:row r="556">
      <x:c r="A556" s="1"/>
      <x:c r="B556" s="1"/>
      <x:c r="C556" s="1"/>
      <x:c r="D556" s="1"/>
      <x:c r="E556" s="1"/>
      <x:c r="F556" s="1"/>
    </x:row>
    <x:row r="557">
      <x:c r="A557" s="1"/>
      <x:c r="B557" s="1"/>
      <x:c r="C557" s="1"/>
      <x:c r="D557" s="1"/>
      <x:c r="E557" s="1"/>
      <x:c r="F557" s="1"/>
    </x:row>
    <x:row r="558">
      <x:c r="A558" s="1"/>
      <x:c r="B558" s="1"/>
      <x:c r="C558" s="1"/>
      <x:c r="D558" s="1"/>
      <x:c r="E558" s="1"/>
      <x:c r="F558" s="1"/>
    </x:row>
    <x:row r="559">
      <x:c r="A559" s="1"/>
      <x:c r="B559" s="1"/>
      <x:c r="C559" s="1"/>
      <x:c r="D559" s="1"/>
      <x:c r="E559" s="1"/>
      <x:c r="F559" s="1"/>
    </x:row>
    <x:row r="560">
      <x:c r="A560" s="1"/>
      <x:c r="B560" s="1"/>
      <x:c r="C560" s="1"/>
      <x:c r="D560" s="1"/>
      <x:c r="E560" s="1"/>
      <x:c r="F560" s="1"/>
    </x:row>
    <x:row r="561">
      <x:c r="A561" s="1"/>
      <x:c r="B561" s="1"/>
      <x:c r="C561" s="1"/>
      <x:c r="D561" s="1"/>
      <x:c r="E561" s="1"/>
      <x:c r="F561" s="1"/>
    </x:row>
    <x:row r="562">
      <x:c r="A562" s="1"/>
      <x:c r="B562" s="1"/>
      <x:c r="C562" s="1"/>
      <x:c r="D562" s="1"/>
      <x:c r="E562" s="1"/>
      <x:c r="F562" s="1"/>
    </x:row>
    <x:row r="563">
      <x:c r="A563" s="1"/>
      <x:c r="B563" s="1"/>
      <x:c r="C563" s="1"/>
      <x:c r="D563" s="1"/>
      <x:c r="E563" s="1"/>
      <x:c r="F563" s="1"/>
    </x:row>
    <x:row r="564">
      <x:c r="A564" s="1"/>
      <x:c r="B564" s="1"/>
      <x:c r="C564" s="1"/>
      <x:c r="D564" s="1"/>
      <x:c r="E564" s="1"/>
      <x:c r="F564" s="1"/>
    </x:row>
    <x:row r="565">
      <x:c r="A565" s="1"/>
      <x:c r="B565" s="1"/>
      <x:c r="C565" s="1"/>
      <x:c r="D565" s="1"/>
      <x:c r="E565" s="1"/>
      <x:c r="F565" s="1"/>
    </x:row>
    <x:row r="566">
      <x:c r="A566" s="1"/>
      <x:c r="B566" s="1"/>
      <x:c r="C566" s="1"/>
      <x:c r="D566" s="1"/>
      <x:c r="E566" s="1"/>
      <x:c r="F566" s="1"/>
    </x:row>
    <x:row r="567">
      <x:c r="A567" s="1"/>
      <x:c r="B567" s="1"/>
      <x:c r="C567" s="1"/>
      <x:c r="D567" s="1"/>
      <x:c r="E567" s="1"/>
      <x:c r="F567" s="1"/>
    </x:row>
    <x:row r="568">
      <x:c r="A568" s="1"/>
      <x:c r="B568" s="1"/>
      <x:c r="C568" s="1"/>
      <x:c r="D568" s="1"/>
      <x:c r="E568" s="1"/>
      <x:c r="F568" s="1"/>
    </x:row>
    <x:row r="569">
      <x:c r="A569" s="1"/>
      <x:c r="B569" s="1"/>
      <x:c r="C569" s="1"/>
      <x:c r="D569" s="1"/>
      <x:c r="E569" s="1"/>
      <x:c r="F569" s="1"/>
    </x:row>
    <x:row r="570">
      <x:c r="A570" s="1"/>
      <x:c r="B570" s="1"/>
      <x:c r="C570" s="1"/>
      <x:c r="D570" s="1"/>
      <x:c r="E570" s="1"/>
      <x:c r="F570" s="1"/>
    </x:row>
    <x:row r="571">
      <x:c r="A571" s="1"/>
      <x:c r="B571" s="1"/>
      <x:c r="C571" s="1"/>
      <x:c r="D571" s="1"/>
      <x:c r="E571" s="1"/>
      <x:c r="F571" s="1"/>
    </x:row>
    <x:row r="572">
      <x:c r="A572" s="1"/>
      <x:c r="B572" s="1"/>
      <x:c r="C572" s="1"/>
      <x:c r="D572" s="1"/>
      <x:c r="E572" s="1"/>
      <x:c r="F572" s="1"/>
    </x:row>
    <x:row r="573">
      <x:c r="A573" s="1"/>
      <x:c r="B573" s="1"/>
      <x:c r="C573" s="1"/>
      <x:c r="D573" s="1"/>
      <x:c r="E573" s="1"/>
      <x:c r="F573" s="1"/>
    </x:row>
    <x:row r="574">
      <x:c r="A574" s="1"/>
      <x:c r="B574" s="1"/>
      <x:c r="C574" s="1"/>
      <x:c r="D574" s="1"/>
      <x:c r="E574" s="1"/>
      <x:c r="F574" s="1"/>
    </x:row>
    <x:row r="575">
      <x:c r="A575" s="1"/>
      <x:c r="B575" s="1"/>
      <x:c r="C575" s="1"/>
      <x:c r="D575" s="1"/>
      <x:c r="E575" s="1"/>
      <x:c r="F575" s="1"/>
    </x:row>
    <x:row r="576">
      <x:c r="A576" s="1"/>
      <x:c r="B576" s="1"/>
      <x:c r="C576" s="1"/>
      <x:c r="D576" s="1"/>
      <x:c r="E576" s="1"/>
      <x:c r="F576" s="1"/>
    </x:row>
    <x:row r="577">
      <x:c r="A577" s="1"/>
      <x:c r="B577" s="1"/>
      <x:c r="C577" s="1"/>
      <x:c r="D577" s="1"/>
      <x:c r="E577" s="1"/>
      <x:c r="F577" s="1"/>
    </x:row>
    <x:row r="578">
      <x:c r="A578" s="1"/>
      <x:c r="B578" s="1"/>
      <x:c r="C578" s="1"/>
      <x:c r="D578" s="1"/>
      <x:c r="E578" s="1"/>
      <x:c r="F578" s="1"/>
    </x:row>
    <x:row r="579">
      <x:c r="A579" s="1"/>
      <x:c r="B579" s="1"/>
      <x:c r="C579" s="1"/>
      <x:c r="D579" s="1"/>
      <x:c r="E579" s="1"/>
      <x:c r="F579" s="1"/>
    </x:row>
    <x:row r="580">
      <x:c r="A580" s="1"/>
      <x:c r="B580" s="1"/>
      <x:c r="C580" s="1"/>
      <x:c r="D580" s="1"/>
      <x:c r="E580" s="1"/>
      <x:c r="F580" s="1"/>
    </x:row>
    <x:row r="581">
      <x:c r="A581" s="1"/>
      <x:c r="B581" s="1"/>
      <x:c r="C581" s="1"/>
      <x:c r="D581" s="1"/>
      <x:c r="E581" s="1"/>
      <x:c r="F581" s="1"/>
    </x:row>
    <x:row r="582">
      <x:c r="A582" s="1"/>
      <x:c r="B582" s="1"/>
      <x:c r="C582" s="1"/>
      <x:c r="D582" s="1"/>
      <x:c r="E582" s="1"/>
      <x:c r="F582" s="1"/>
    </x:row>
    <x:row r="583">
      <x:c r="A583" s="1"/>
      <x:c r="B583" s="1"/>
      <x:c r="C583" s="1"/>
      <x:c r="D583" s="1"/>
      <x:c r="E583" s="1"/>
      <x:c r="F583" s="1"/>
    </x:row>
    <x:row r="584">
      <x:c r="A584" s="1"/>
      <x:c r="B584" s="1"/>
      <x:c r="C584" s="1"/>
      <x:c r="D584" s="1"/>
      <x:c r="E584" s="1"/>
      <x:c r="F584" s="1"/>
    </x:row>
    <x:row r="585">
      <x:c r="A585" s="1"/>
      <x:c r="B585" s="1"/>
      <x:c r="C585" s="1"/>
      <x:c r="D585" s="1"/>
      <x:c r="E585" s="1"/>
      <x:c r="F585" s="1"/>
    </x:row>
    <x:row r="586">
      <x:c r="A586" s="1"/>
      <x:c r="B586" s="1"/>
      <x:c r="C586" s="1"/>
      <x:c r="D586" s="1"/>
      <x:c r="E586" s="1"/>
      <x:c r="F586" s="1"/>
    </x:row>
    <x:row r="587">
      <x:c r="A587" s="1"/>
      <x:c r="B587" s="1"/>
      <x:c r="C587" s="1"/>
      <x:c r="D587" s="1"/>
      <x:c r="E587" s="1"/>
      <x:c r="F587" s="1"/>
    </x:row>
    <x:row r="588">
      <x:c r="A588" s="1"/>
      <x:c r="B588" s="1"/>
      <x:c r="C588" s="1"/>
      <x:c r="D588" s="1"/>
      <x:c r="E588" s="1"/>
      <x:c r="F588" s="1"/>
    </x:row>
    <x:row r="589">
      <x:c r="A589" s="1"/>
      <x:c r="B589" s="1"/>
      <x:c r="C589" s="1"/>
      <x:c r="D589" s="1"/>
      <x:c r="E589" s="1"/>
      <x:c r="F589" s="1"/>
    </x:row>
    <x:row r="590">
      <x:c r="A590" s="1"/>
      <x:c r="B590" s="1"/>
      <x:c r="C590" s="1"/>
      <x:c r="D590" s="1"/>
      <x:c r="E590" s="1"/>
      <x:c r="F590" s="1"/>
    </x:row>
    <x:row r="591">
      <x:c r="A591" s="1"/>
      <x:c r="B591" s="1"/>
      <x:c r="C591" s="1"/>
      <x:c r="D591" s="1"/>
      <x:c r="E591" s="1"/>
      <x:c r="F591" s="1"/>
    </x:row>
    <x:row r="592">
      <x:c r="A592" s="1"/>
      <x:c r="B592" s="1"/>
      <x:c r="C592" s="1"/>
      <x:c r="D592" s="1"/>
      <x:c r="E592" s="1"/>
      <x:c r="F592" s="1"/>
    </x:row>
    <x:row r="593">
      <x:c r="A593" s="1"/>
      <x:c r="B593" s="1"/>
      <x:c r="C593" s="1"/>
      <x:c r="D593" s="1"/>
      <x:c r="E593" s="1"/>
      <x:c r="F593" s="1"/>
    </x:row>
    <x:row r="594">
      <x:c r="A594" s="1"/>
      <x:c r="B594" s="1"/>
      <x:c r="C594" s="1"/>
      <x:c r="D594" s="1"/>
      <x:c r="E594" s="1"/>
      <x:c r="F594" s="1"/>
    </x:row>
    <x:row r="595">
      <x:c r="A595" s="1"/>
      <x:c r="B595" s="1"/>
      <x:c r="C595" s="1"/>
      <x:c r="D595" s="1"/>
      <x:c r="E595" s="1"/>
      <x:c r="F595" s="1"/>
    </x:row>
    <x:row r="596">
      <x:c r="A596" s="1"/>
      <x:c r="B596" s="1"/>
      <x:c r="C596" s="1"/>
      <x:c r="D596" s="1"/>
      <x:c r="E596" s="1"/>
      <x:c r="F596" s="1"/>
    </x:row>
    <x:row r="597">
      <x:c r="A597" s="1"/>
      <x:c r="B597" s="1"/>
      <x:c r="C597" s="1"/>
      <x:c r="D597" s="1"/>
      <x:c r="E597" s="1"/>
      <x:c r="F597" s="1"/>
    </x:row>
    <x:row r="598">
      <x:c r="A598" s="1"/>
      <x:c r="B598" s="1"/>
      <x:c r="C598" s="1"/>
      <x:c r="D598" s="1"/>
      <x:c r="E598" s="1"/>
      <x:c r="F598" s="1"/>
    </x:row>
    <x:row r="599">
      <x:c r="A599" s="1"/>
      <x:c r="B599" s="1"/>
      <x:c r="C599" s="1"/>
      <x:c r="D599" s="1"/>
      <x:c r="E599" s="1"/>
      <x:c r="F599" s="1"/>
    </x:row>
    <x:row r="600">
      <x:c r="A600" s="1"/>
      <x:c r="B600" s="1"/>
      <x:c r="C600" s="1"/>
      <x:c r="D600" s="1"/>
      <x:c r="E600" s="1"/>
      <x:c r="F600" s="1"/>
    </x:row>
    <x:row r="601">
      <x:c r="A601" s="1"/>
      <x:c r="B601" s="1"/>
      <x:c r="C601" s="1"/>
      <x:c r="D601" s="1"/>
      <x:c r="E601" s="1"/>
      <x:c r="F601" s="1"/>
    </x:row>
    <x:row r="602">
      <x:c r="A602" s="1"/>
      <x:c r="B602" s="1"/>
      <x:c r="C602" s="1"/>
      <x:c r="D602" s="1"/>
      <x:c r="E602" s="1"/>
      <x:c r="F602" s="1"/>
    </x:row>
    <x:row r="603">
      <x:c r="A603" s="1"/>
      <x:c r="B603" s="1"/>
      <x:c r="C603" s="1"/>
      <x:c r="D603" s="1"/>
      <x:c r="E603" s="1"/>
      <x:c r="F603" s="1"/>
    </x:row>
    <x:row r="604">
      <x:c r="A604" s="1"/>
      <x:c r="B604" s="1"/>
      <x:c r="C604" s="1"/>
      <x:c r="D604" s="1"/>
      <x:c r="E604" s="1"/>
      <x:c r="F604" s="1"/>
    </x:row>
    <x:row r="605">
      <x:c r="A605" s="1"/>
      <x:c r="B605" s="1"/>
      <x:c r="C605" s="1"/>
      <x:c r="D605" s="1"/>
      <x:c r="E605" s="1"/>
      <x:c r="F605" s="1"/>
    </x:row>
    <x:row r="606">
      <x:c r="A606" s="1"/>
      <x:c r="B606" s="1"/>
      <x:c r="C606" s="1"/>
      <x:c r="D606" s="1"/>
      <x:c r="E606" s="1"/>
      <x:c r="F606" s="1"/>
    </x:row>
    <x:row r="607">
      <x:c r="A607" s="1"/>
      <x:c r="B607" s="1"/>
      <x:c r="C607" s="1"/>
      <x:c r="D607" s="1"/>
      <x:c r="E607" s="1"/>
      <x:c r="F607" s="1"/>
    </x:row>
    <x:row r="608">
      <x:c r="A608" s="1"/>
      <x:c r="B608" s="1"/>
      <x:c r="C608" s="1"/>
      <x:c r="D608" s="1"/>
      <x:c r="E608" s="1"/>
      <x:c r="F608" s="1"/>
    </x:row>
    <x:row r="609">
      <x:c r="A609" s="1"/>
      <x:c r="B609" s="1"/>
      <x:c r="C609" s="1"/>
      <x:c r="D609" s="1"/>
      <x:c r="E609" s="1"/>
      <x:c r="F609" s="1"/>
    </x:row>
    <x:row r="610">
      <x:c r="A610" s="1"/>
      <x:c r="B610" s="1"/>
      <x:c r="C610" s="1"/>
      <x:c r="D610" s="1"/>
      <x:c r="E610" s="1"/>
      <x:c r="F610" s="1"/>
    </x:row>
    <x:row r="611">
      <x:c r="A611" s="1"/>
      <x:c r="B611" s="1"/>
      <x:c r="C611" s="1"/>
      <x:c r="D611" s="1"/>
      <x:c r="E611" s="1"/>
      <x:c r="F611" s="1"/>
    </x:row>
    <x:row r="612">
      <x:c r="A612" s="1"/>
      <x:c r="B612" s="1"/>
      <x:c r="C612" s="1"/>
      <x:c r="D612" s="1"/>
      <x:c r="E612" s="1"/>
      <x:c r="F612" s="1"/>
    </x:row>
    <x:row r="613">
      <x:c r="A613" s="1"/>
      <x:c r="B613" s="1"/>
      <x:c r="C613" s="1"/>
      <x:c r="D613" s="1"/>
      <x:c r="E613" s="1"/>
      <x:c r="F613" s="1"/>
    </x:row>
    <x:row r="614">
      <x:c r="A614" s="1"/>
      <x:c r="B614" s="1"/>
      <x:c r="C614" s="1"/>
      <x:c r="D614" s="1"/>
      <x:c r="E614" s="1"/>
      <x:c r="F614" s="1"/>
    </x:row>
    <x:row r="615">
      <x:c r="A615" s="1"/>
      <x:c r="B615" s="1"/>
      <x:c r="C615" s="1"/>
      <x:c r="D615" s="1"/>
      <x:c r="E615" s="1"/>
      <x:c r="F615" s="1"/>
    </x:row>
    <x:row r="616">
      <x:c r="A616" s="1"/>
      <x:c r="B616" s="1"/>
      <x:c r="C616" s="1"/>
      <x:c r="D616" s="1"/>
      <x:c r="E616" s="1"/>
      <x:c r="F616" s="1"/>
    </x:row>
    <x:row r="617">
      <x:c r="A617" s="1"/>
      <x:c r="B617" s="1"/>
      <x:c r="C617" s="1"/>
      <x:c r="D617" s="1"/>
      <x:c r="E617" s="1"/>
      <x:c r="F617" s="1"/>
    </x:row>
    <x:row r="618">
      <x:c r="A618" s="1"/>
      <x:c r="B618" s="1"/>
      <x:c r="C618" s="1"/>
      <x:c r="D618" s="1"/>
      <x:c r="E618" s="1"/>
      <x:c r="F618" s="1"/>
    </x:row>
    <x:row r="619">
      <x:c r="A619" s="1"/>
      <x:c r="B619" s="1"/>
      <x:c r="C619" s="1"/>
      <x:c r="D619" s="1"/>
      <x:c r="E619" s="1"/>
      <x:c r="F619" s="1"/>
    </x:row>
    <x:row r="620">
      <x:c r="A620" s="1"/>
      <x:c r="B620" s="1"/>
      <x:c r="C620" s="1"/>
      <x:c r="D620" s="1"/>
      <x:c r="E620" s="1"/>
      <x:c r="F620" s="1"/>
    </x:row>
    <x:row r="621">
      <x:c r="A621" s="1"/>
      <x:c r="B621" s="1"/>
      <x:c r="C621" s="1"/>
      <x:c r="D621" s="1"/>
      <x:c r="E621" s="1"/>
      <x:c r="F621" s="1"/>
    </x:row>
    <x:row r="622">
      <x:c r="A622" s="1"/>
      <x:c r="B622" s="1"/>
      <x:c r="C622" s="1"/>
      <x:c r="D622" s="1"/>
      <x:c r="E622" s="1"/>
      <x:c r="F622" s="1"/>
    </x:row>
    <x:row r="623">
      <x:c r="A623" s="1"/>
      <x:c r="B623" s="1"/>
      <x:c r="C623" s="1"/>
      <x:c r="D623" s="1"/>
      <x:c r="E623" s="1"/>
      <x:c r="F623" s="1"/>
    </x:row>
    <x:row r="624">
      <x:c r="A624" s="1"/>
      <x:c r="B624" s="1"/>
      <x:c r="C624" s="1"/>
      <x:c r="D624" s="1"/>
      <x:c r="E624" s="1"/>
      <x:c r="F624" s="1"/>
    </x:row>
    <x:row r="625">
      <x:c r="A625" s="1"/>
      <x:c r="B625" s="1"/>
      <x:c r="C625" s="1"/>
      <x:c r="D625" s="1"/>
      <x:c r="E625" s="1"/>
      <x:c r="F625" s="1"/>
    </x:row>
    <x:row r="626">
      <x:c r="A626" s="1"/>
      <x:c r="B626" s="1"/>
      <x:c r="C626" s="1"/>
      <x:c r="D626" s="1"/>
      <x:c r="E626" s="1"/>
      <x:c r="F626" s="1"/>
    </x:row>
    <x:row r="627">
      <x:c r="A627" s="1"/>
      <x:c r="B627" s="1"/>
      <x:c r="C627" s="1"/>
      <x:c r="D627" s="1"/>
      <x:c r="E627" s="1"/>
      <x:c r="F627" s="1"/>
    </x:row>
    <x:row r="628">
      <x:c r="A628" s="1"/>
      <x:c r="B628" s="1"/>
      <x:c r="C628" s="1"/>
      <x:c r="D628" s="1"/>
      <x:c r="E628" s="1"/>
      <x:c r="F628" s="1"/>
    </x:row>
    <x:row r="629">
      <x:c r="A629" s="1"/>
      <x:c r="B629" s="1"/>
      <x:c r="C629" s="1"/>
      <x:c r="D629" s="1"/>
      <x:c r="E629" s="1"/>
      <x:c r="F629" s="1"/>
    </x:row>
    <x:row r="630">
      <x:c r="A630" s="1"/>
      <x:c r="B630" s="1"/>
      <x:c r="C630" s="1"/>
      <x:c r="D630" s="1"/>
      <x:c r="E630" s="1"/>
      <x:c r="F630" s="1"/>
    </x:row>
    <x:row r="631">
      <x:c r="A631" s="1"/>
      <x:c r="B631" s="1"/>
      <x:c r="C631" s="1"/>
      <x:c r="D631" s="1"/>
      <x:c r="E631" s="1"/>
      <x:c r="F631" s="1"/>
    </x:row>
    <x:row r="632">
      <x:c r="A632" s="1"/>
      <x:c r="B632" s="1"/>
      <x:c r="C632" s="1"/>
      <x:c r="D632" s="1"/>
      <x:c r="E632" s="1"/>
      <x:c r="F632" s="1"/>
    </x:row>
    <x:row r="633">
      <x:c r="A633" s="1"/>
      <x:c r="B633" s="1"/>
      <x:c r="C633" s="1"/>
      <x:c r="D633" s="1"/>
      <x:c r="E633" s="1"/>
      <x:c r="F633" s="1"/>
    </x:row>
    <x:row r="634">
      <x:c r="A634" s="1"/>
      <x:c r="B634" s="1"/>
      <x:c r="C634" s="1"/>
      <x:c r="D634" s="1"/>
      <x:c r="E634" s="1"/>
      <x:c r="F634" s="1"/>
    </x:row>
    <x:row r="635">
      <x:c r="A635" s="1"/>
      <x:c r="B635" s="1"/>
      <x:c r="C635" s="1"/>
      <x:c r="D635" s="1"/>
      <x:c r="E635" s="1"/>
      <x:c r="F635" s="1"/>
    </x:row>
    <x:row r="636">
      <x:c r="A636" s="1"/>
      <x:c r="B636" s="1"/>
      <x:c r="C636" s="1"/>
      <x:c r="D636" s="1"/>
      <x:c r="E636" s="1"/>
      <x:c r="F636" s="1"/>
    </x:row>
    <x:row r="637">
      <x:c r="A637" s="1"/>
      <x:c r="B637" s="1"/>
      <x:c r="C637" s="1"/>
      <x:c r="D637" s="1"/>
      <x:c r="E637" s="1"/>
      <x:c r="F637" s="1"/>
    </x:row>
    <x:row r="638">
      <x:c r="A638" s="1"/>
      <x:c r="B638" s="1"/>
      <x:c r="C638" s="1"/>
      <x:c r="D638" s="1"/>
      <x:c r="E638" s="1"/>
      <x:c r="F638" s="1"/>
    </x:row>
    <x:row r="639">
      <x:c r="A639" s="1"/>
      <x:c r="B639" s="1"/>
      <x:c r="C639" s="1"/>
      <x:c r="D639" s="1"/>
      <x:c r="E639" s="1"/>
      <x:c r="F639" s="1"/>
    </x:row>
    <x:row r="640">
      <x:c r="A640" s="1"/>
      <x:c r="B640" s="1"/>
      <x:c r="C640" s="1"/>
      <x:c r="D640" s="1"/>
      <x:c r="E640" s="1"/>
      <x:c r="F640" s="1"/>
    </x:row>
    <x:row r="641">
      <x:c r="A641" s="1"/>
      <x:c r="B641" s="1"/>
      <x:c r="C641" s="1"/>
      <x:c r="D641" s="1"/>
      <x:c r="E641" s="1"/>
      <x:c r="F641" s="1"/>
    </x:row>
    <x:row r="642">
      <x:c r="A642" s="1"/>
      <x:c r="B642" s="1"/>
      <x:c r="C642" s="1"/>
      <x:c r="D642" s="1"/>
      <x:c r="E642" s="1"/>
      <x:c r="F642" s="1"/>
    </x:row>
    <x:row r="643">
      <x:c r="A643" s="1"/>
      <x:c r="B643" s="1"/>
      <x:c r="C643" s="1"/>
      <x:c r="D643" s="1"/>
      <x:c r="E643" s="1"/>
      <x:c r="F643" s="1"/>
    </x:row>
    <x:row r="644">
      <x:c r="A644" s="1"/>
      <x:c r="B644" s="1"/>
      <x:c r="C644" s="1"/>
      <x:c r="D644" s="1"/>
      <x:c r="E644" s="1"/>
      <x:c r="F644" s="1"/>
    </x:row>
    <x:row r="645">
      <x:c r="A645" s="1"/>
      <x:c r="B645" s="1"/>
      <x:c r="C645" s="1"/>
      <x:c r="D645" s="1"/>
      <x:c r="E645" s="1"/>
      <x:c r="F645" s="1"/>
    </x:row>
    <x:row r="646">
      <x:c r="A646" s="1"/>
      <x:c r="B646" s="1"/>
      <x:c r="C646" s="1"/>
      <x:c r="D646" s="1"/>
      <x:c r="E646" s="1"/>
      <x:c r="F646" s="1"/>
    </x:row>
    <x:row r="647">
      <x:c r="A647" s="1"/>
      <x:c r="B647" s="1"/>
      <x:c r="C647" s="1"/>
      <x:c r="D647" s="1"/>
      <x:c r="E647" s="1"/>
      <x:c r="F647" s="1"/>
    </x:row>
    <x:row r="648">
      <x:c r="A648" s="1"/>
      <x:c r="B648" s="1"/>
      <x:c r="C648" s="1"/>
      <x:c r="D648" s="1"/>
      <x:c r="E648" s="1"/>
      <x:c r="F648" s="1"/>
    </x:row>
    <x:row r="649">
      <x:c r="A649" s="1"/>
      <x:c r="B649" s="1"/>
      <x:c r="C649" s="1"/>
      <x:c r="D649" s="1"/>
      <x:c r="E649" s="1"/>
      <x:c r="F649" s="1"/>
    </x:row>
    <x:row r="650">
      <x:c r="A650" s="1"/>
      <x:c r="B650" s="1"/>
      <x:c r="C650" s="1"/>
      <x:c r="D650" s="1"/>
      <x:c r="E650" s="1"/>
      <x:c r="F650" s="1"/>
    </x:row>
    <x:row r="651">
      <x:c r="A651" s="1"/>
      <x:c r="B651" s="1"/>
      <x:c r="C651" s="1"/>
      <x:c r="D651" s="1"/>
      <x:c r="E651" s="1"/>
      <x:c r="F651" s="1"/>
    </x:row>
    <x:row r="652">
      <x:c r="A652" s="1"/>
      <x:c r="B652" s="1"/>
      <x:c r="C652" s="1"/>
      <x:c r="D652" s="1"/>
      <x:c r="E652" s="1"/>
      <x:c r="F652" s="1"/>
    </x:row>
    <x:row r="653">
      <x:c r="A653" s="1"/>
      <x:c r="B653" s="1"/>
      <x:c r="C653" s="1"/>
      <x:c r="D653" s="1"/>
      <x:c r="E653" s="1"/>
      <x:c r="F653" s="1"/>
    </x:row>
    <x:row r="654">
      <x:c r="A654" s="1"/>
      <x:c r="B654" s="1"/>
      <x:c r="C654" s="1"/>
      <x:c r="D654" s="1"/>
      <x:c r="E654" s="1"/>
      <x:c r="F654" s="1"/>
    </x:row>
    <x:row r="655">
      <x:c r="A655" s="1"/>
      <x:c r="B655" s="1"/>
      <x:c r="C655" s="1"/>
      <x:c r="D655" s="1"/>
      <x:c r="E655" s="1"/>
      <x:c r="F655" s="1"/>
    </x:row>
    <x:row r="656">
      <x:c r="A656" s="1"/>
      <x:c r="B656" s="1"/>
      <x:c r="C656" s="1"/>
      <x:c r="D656" s="1"/>
      <x:c r="E656" s="1"/>
      <x:c r="F656" s="1"/>
    </x:row>
    <x:row r="657">
      <x:c r="A657" s="1"/>
      <x:c r="B657" s="1"/>
      <x:c r="C657" s="1"/>
      <x:c r="D657" s="1"/>
      <x:c r="E657" s="1"/>
      <x:c r="F657" s="1"/>
    </x:row>
    <x:row r="658">
      <x:c r="A658" s="1"/>
      <x:c r="B658" s="1"/>
      <x:c r="C658" s="1"/>
      <x:c r="D658" s="1"/>
      <x:c r="E658" s="1"/>
      <x:c r="F658" s="1"/>
    </x:row>
    <x:row r="659">
      <x:c r="A659" s="1"/>
      <x:c r="B659" s="1"/>
      <x:c r="C659" s="1"/>
      <x:c r="D659" s="1"/>
      <x:c r="E659" s="1"/>
      <x:c r="F659" s="1"/>
    </x:row>
    <x:row r="660">
      <x:c r="A660" s="1"/>
      <x:c r="B660" s="1"/>
      <x:c r="C660" s="1"/>
      <x:c r="D660" s="1"/>
      <x:c r="E660" s="1"/>
      <x:c r="F660" s="1"/>
    </x:row>
    <x:row r="661">
      <x:c r="A661" s="1"/>
      <x:c r="B661" s="1"/>
      <x:c r="C661" s="1"/>
      <x:c r="D661" s="1"/>
      <x:c r="E661" s="1"/>
      <x:c r="F661" s="1"/>
    </x:row>
    <x:row r="662">
      <x:c r="A662" s="1"/>
      <x:c r="B662" s="1"/>
      <x:c r="C662" s="1"/>
      <x:c r="D662" s="1"/>
      <x:c r="E662" s="1"/>
      <x:c r="F662" s="1"/>
    </x:row>
    <x:row r="663">
      <x:c r="A663" s="1"/>
      <x:c r="B663" s="1"/>
      <x:c r="C663" s="1"/>
      <x:c r="D663" s="1"/>
      <x:c r="E663" s="1"/>
      <x:c r="F663" s="1"/>
    </x:row>
    <x:row r="664">
      <x:c r="A664" s="1"/>
      <x:c r="B664" s="1"/>
      <x:c r="C664" s="1"/>
      <x:c r="D664" s="1"/>
      <x:c r="E664" s="1"/>
      <x:c r="F664" s="1"/>
    </x:row>
    <x:row r="665">
      <x:c r="A665" s="1"/>
      <x:c r="B665" s="1"/>
      <x:c r="C665" s="1"/>
      <x:c r="D665" s="1"/>
      <x:c r="E665" s="1"/>
      <x:c r="F665" s="1"/>
    </x:row>
    <x:row r="666">
      <x:c r="A666" s="1"/>
      <x:c r="B666" s="1"/>
      <x:c r="C666" s="1"/>
      <x:c r="D666" s="1"/>
      <x:c r="E666" s="1"/>
      <x:c r="F666" s="1"/>
    </x:row>
    <x:row r="667">
      <x:c r="A667" s="1"/>
      <x:c r="B667" s="1"/>
      <x:c r="C667" s="1"/>
      <x:c r="D667" s="1"/>
      <x:c r="E667" s="1"/>
      <x:c r="F667" s="1"/>
    </x:row>
    <x:row r="668">
      <x:c r="A668" s="1"/>
      <x:c r="B668" s="1"/>
      <x:c r="C668" s="1"/>
      <x:c r="D668" s="1"/>
      <x:c r="E668" s="1"/>
      <x:c r="F668" s="1"/>
    </x:row>
    <x:row r="669">
      <x:c r="A669" s="1"/>
      <x:c r="B669" s="1"/>
      <x:c r="C669" s="1"/>
      <x:c r="D669" s="1"/>
      <x:c r="E669" s="1"/>
      <x:c r="F669" s="1"/>
    </x:row>
    <x:row r="670">
      <x:c r="A670" s="1"/>
      <x:c r="B670" s="1"/>
      <x:c r="C670" s="1"/>
      <x:c r="D670" s="1"/>
      <x:c r="E670" s="1"/>
      <x:c r="F670" s="1"/>
    </x:row>
    <x:row r="671">
      <x:c r="A671" s="1"/>
      <x:c r="B671" s="1"/>
      <x:c r="C671" s="1"/>
      <x:c r="D671" s="1"/>
      <x:c r="E671" s="1"/>
      <x:c r="F671" s="1"/>
    </x:row>
    <x:row r="672">
      <x:c r="A672" s="1"/>
      <x:c r="B672" s="1"/>
      <x:c r="C672" s="1"/>
      <x:c r="D672" s="1"/>
      <x:c r="E672" s="1"/>
      <x:c r="F672" s="1"/>
    </x:row>
    <x:row r="673">
      <x:c r="A673" s="1"/>
      <x:c r="B673" s="1"/>
      <x:c r="C673" s="1"/>
      <x:c r="D673" s="1"/>
      <x:c r="E673" s="1"/>
      <x:c r="F673" s="1"/>
    </x:row>
    <x:row r="674">
      <x:c r="A674" s="1"/>
      <x:c r="B674" s="1"/>
      <x:c r="C674" s="1"/>
      <x:c r="D674" s="1"/>
      <x:c r="E674" s="1"/>
      <x:c r="F674" s="1"/>
    </x:row>
    <x:row r="675">
      <x:c r="A675" s="1"/>
      <x:c r="B675" s="1"/>
      <x:c r="C675" s="1"/>
      <x:c r="D675" s="1"/>
      <x:c r="E675" s="1"/>
      <x:c r="F675" s="1"/>
    </x:row>
    <x:row r="676">
      <x:c r="A676" s="1"/>
      <x:c r="B676" s="1"/>
      <x:c r="C676" s="1"/>
      <x:c r="D676" s="1"/>
      <x:c r="E676" s="1"/>
      <x:c r="F676" s="1"/>
    </x:row>
    <x:row r="677">
      <x:c r="A677" s="1"/>
      <x:c r="B677" s="1"/>
      <x:c r="C677" s="1"/>
      <x:c r="D677" s="1"/>
      <x:c r="E677" s="1"/>
      <x:c r="F677" s="1"/>
    </x:row>
    <x:row r="678">
      <x:c r="A678" s="1"/>
      <x:c r="B678" s="1"/>
      <x:c r="C678" s="1"/>
      <x:c r="D678" s="1"/>
      <x:c r="E678" s="1"/>
      <x:c r="F678" s="1"/>
    </x:row>
    <x:row r="679">
      <x:c r="A679" s="1"/>
      <x:c r="B679" s="1"/>
      <x:c r="C679" s="1"/>
      <x:c r="D679" s="1"/>
      <x:c r="E679" s="1"/>
      <x:c r="F679" s="1"/>
    </x:row>
    <x:row r="680">
      <x:c r="A680" s="1"/>
      <x:c r="B680" s="1"/>
      <x:c r="C680" s="1"/>
      <x:c r="D680" s="1"/>
      <x:c r="E680" s="1"/>
      <x:c r="F680" s="1"/>
    </x:row>
    <x:row r="681">
      <x:c r="A681" s="1"/>
      <x:c r="B681" s="1"/>
      <x:c r="C681" s="1"/>
      <x:c r="D681" s="1"/>
      <x:c r="E681" s="1"/>
      <x:c r="F681" s="1"/>
    </x:row>
    <x:row r="682">
      <x:c r="A682" s="1"/>
      <x:c r="B682" s="1"/>
      <x:c r="C682" s="1"/>
      <x:c r="D682" s="1"/>
      <x:c r="E682" s="1"/>
      <x:c r="F682" s="1"/>
    </x:row>
    <x:row r="683">
      <x:c r="A683" s="1"/>
      <x:c r="B683" s="1"/>
      <x:c r="C683" s="1"/>
      <x:c r="D683" s="1"/>
      <x:c r="E683" s="1"/>
      <x:c r="F683" s="1"/>
    </x:row>
    <x:row r="684">
      <x:c r="A684" s="1"/>
      <x:c r="B684" s="1"/>
      <x:c r="C684" s="1"/>
      <x:c r="D684" s="1"/>
      <x:c r="E684" s="1"/>
      <x:c r="F684" s="1"/>
    </x:row>
    <x:row r="685">
      <x:c r="A685" s="1"/>
      <x:c r="B685" s="1"/>
      <x:c r="C685" s="1"/>
      <x:c r="D685" s="1"/>
      <x:c r="E685" s="1"/>
      <x:c r="F685" s="1"/>
    </x:row>
    <x:row r="686">
      <x:c r="A686" s="1"/>
      <x:c r="B686" s="1"/>
      <x:c r="C686" s="1"/>
      <x:c r="D686" s="1"/>
      <x:c r="E686" s="1"/>
      <x:c r="F686" s="1"/>
    </x:row>
    <x:row r="687">
      <x:c r="A687" s="1"/>
      <x:c r="B687" s="1"/>
      <x:c r="C687" s="1"/>
      <x:c r="D687" s="1"/>
      <x:c r="E687" s="1"/>
      <x:c r="F687" s="1"/>
    </x:row>
    <x:row r="688">
      <x:c r="A688" s="1"/>
      <x:c r="B688" s="1"/>
      <x:c r="C688" s="1"/>
      <x:c r="D688" s="1"/>
      <x:c r="E688" s="1"/>
      <x:c r="F688" s="1"/>
    </x:row>
    <x:row r="689">
      <x:c r="A689" s="1"/>
      <x:c r="B689" s="1"/>
      <x:c r="C689" s="1"/>
      <x:c r="D689" s="1"/>
      <x:c r="E689" s="1"/>
      <x:c r="F689" s="1"/>
    </x:row>
    <x:row r="690">
      <x:c r="A690" s="1"/>
      <x:c r="B690" s="1"/>
      <x:c r="C690" s="1"/>
      <x:c r="D690" s="1"/>
      <x:c r="E690" s="1"/>
      <x:c r="F690" s="1"/>
    </x:row>
    <x:row r="691">
      <x:c r="A691" s="1"/>
      <x:c r="B691" s="1"/>
      <x:c r="C691" s="1"/>
      <x:c r="D691" s="1"/>
      <x:c r="E691" s="1"/>
      <x:c r="F691" s="1"/>
    </x:row>
    <x:row r="692">
      <x:c r="A692" s="1"/>
      <x:c r="B692" s="1"/>
      <x:c r="C692" s="1"/>
      <x:c r="D692" s="1"/>
      <x:c r="E692" s="1"/>
      <x:c r="F692" s="1"/>
    </x:row>
    <x:row r="693">
      <x:c r="A693" s="1"/>
      <x:c r="B693" s="1"/>
      <x:c r="C693" s="1"/>
      <x:c r="D693" s="1"/>
      <x:c r="E693" s="1"/>
      <x:c r="F693" s="1"/>
    </x:row>
    <x:row r="694">
      <x:c r="A694" s="1"/>
      <x:c r="B694" s="1"/>
      <x:c r="C694" s="1"/>
      <x:c r="D694" s="1"/>
      <x:c r="E694" s="1"/>
      <x:c r="F694" s="1"/>
    </x:row>
    <x:row r="695">
      <x:c r="A695" s="1"/>
      <x:c r="B695" s="1"/>
      <x:c r="C695" s="1"/>
      <x:c r="D695" s="1"/>
      <x:c r="E695" s="1"/>
      <x:c r="F695" s="1"/>
    </x:row>
    <x:row r="696">
      <x:c r="A696" s="1"/>
      <x:c r="B696" s="1"/>
      <x:c r="C696" s="1"/>
      <x:c r="D696" s="1"/>
      <x:c r="E696" s="1"/>
      <x:c r="F696" s="1"/>
    </x:row>
    <x:row r="697">
      <x:c r="A697" s="1"/>
      <x:c r="B697" s="1"/>
      <x:c r="C697" s="1"/>
      <x:c r="D697" s="1"/>
      <x:c r="E697" s="1"/>
      <x:c r="F697" s="1"/>
    </x:row>
    <x:row r="698">
      <x:c r="A698" s="1"/>
      <x:c r="B698" s="1"/>
      <x:c r="C698" s="1"/>
      <x:c r="D698" s="1"/>
      <x:c r="E698" s="1"/>
      <x:c r="F698" s="1"/>
    </x:row>
    <x:row r="699">
      <x:c r="A699" s="1"/>
      <x:c r="B699" s="1"/>
      <x:c r="C699" s="1"/>
      <x:c r="D699" s="1"/>
      <x:c r="E699" s="1"/>
      <x:c r="F699" s="1"/>
    </x:row>
    <x:row r="700">
      <x:c r="A700" s="1"/>
      <x:c r="B700" s="1"/>
      <x:c r="C700" s="1"/>
      <x:c r="D700" s="1"/>
      <x:c r="E700" s="1"/>
      <x:c r="F700" s="1"/>
    </x:row>
    <x:row r="701">
      <x:c r="A701" s="1"/>
      <x:c r="B701" s="1"/>
      <x:c r="C701" s="1"/>
      <x:c r="D701" s="1"/>
      <x:c r="E701" s="1"/>
      <x:c r="F701" s="1"/>
    </x:row>
    <x:row r="702">
      <x:c r="A702" s="1"/>
      <x:c r="B702" s="1"/>
      <x:c r="C702" s="1"/>
      <x:c r="D702" s="1"/>
      <x:c r="E702" s="1"/>
      <x:c r="F702" s="1"/>
    </x:row>
    <x:row r="703">
      <x:c r="A703" s="1"/>
      <x:c r="B703" s="1"/>
      <x:c r="C703" s="1"/>
      <x:c r="D703" s="1"/>
      <x:c r="E703" s="1"/>
      <x:c r="F703" s="1"/>
    </x:row>
    <x:row r="704">
      <x:c r="A704" s="1"/>
      <x:c r="B704" s="1"/>
      <x:c r="C704" s="1"/>
      <x:c r="D704" s="1"/>
      <x:c r="E704" s="1"/>
      <x:c r="F704" s="1"/>
    </x:row>
    <x:row r="705">
      <x:c r="A705" s="1"/>
      <x:c r="B705" s="1"/>
      <x:c r="C705" s="1"/>
      <x:c r="D705" s="1"/>
      <x:c r="E705" s="1"/>
      <x:c r="F705" s="1"/>
    </x:row>
    <x:row r="706">
      <x:c r="A706" s="1"/>
      <x:c r="B706" s="1"/>
      <x:c r="C706" s="1"/>
      <x:c r="D706" s="1"/>
      <x:c r="E706" s="1"/>
      <x:c r="F706" s="1"/>
    </x:row>
    <x:row r="707">
      <x:c r="A707" s="1"/>
      <x:c r="B707" s="1"/>
      <x:c r="C707" s="1"/>
      <x:c r="D707" s="1"/>
      <x:c r="E707" s="1"/>
      <x:c r="F707" s="1"/>
    </x:row>
    <x:row r="708">
      <x:c r="A708" s="1"/>
      <x:c r="B708" s="1"/>
      <x:c r="C708" s="1"/>
      <x:c r="D708" s="1"/>
      <x:c r="E708" s="1"/>
      <x:c r="F708" s="1"/>
    </x:row>
    <x:row r="709">
      <x:c r="A709" s="1"/>
      <x:c r="B709" s="1"/>
      <x:c r="C709" s="1"/>
      <x:c r="D709" s="1"/>
      <x:c r="E709" s="1"/>
      <x:c r="F709" s="1"/>
    </x:row>
    <x:row r="710">
      <x:c r="A710" s="1"/>
      <x:c r="B710" s="1"/>
      <x:c r="C710" s="1"/>
      <x:c r="D710" s="1"/>
      <x:c r="E710" s="1"/>
      <x:c r="F710" s="1"/>
    </x:row>
    <x:row r="711">
      <x:c r="A711" s="1"/>
      <x:c r="B711" s="1"/>
      <x:c r="C711" s="1"/>
      <x:c r="D711" s="1"/>
      <x:c r="E711" s="1"/>
      <x:c r="F711" s="1"/>
    </x:row>
    <x:row r="712">
      <x:c r="A712" s="1"/>
      <x:c r="B712" s="1"/>
      <x:c r="C712" s="1"/>
      <x:c r="D712" s="1"/>
      <x:c r="E712" s="1"/>
      <x:c r="F712" s="1"/>
    </x:row>
    <x:row r="713">
      <x:c r="A713" s="1"/>
      <x:c r="B713" s="1"/>
      <x:c r="C713" s="1"/>
      <x:c r="D713" s="1"/>
      <x:c r="E713" s="1"/>
      <x:c r="F713" s="1"/>
    </x:row>
    <x:row r="714">
      <x:c r="A714" s="1"/>
      <x:c r="B714" s="1"/>
      <x:c r="C714" s="1"/>
      <x:c r="D714" s="1"/>
      <x:c r="E714" s="1"/>
      <x:c r="F714" s="1"/>
    </x:row>
    <x:row r="715">
      <x:c r="A715" s="1"/>
      <x:c r="B715" s="1"/>
      <x:c r="C715" s="1"/>
      <x:c r="D715" s="1"/>
      <x:c r="E715" s="1"/>
      <x:c r="F715" s="1"/>
    </x:row>
    <x:row r="716">
      <x:c r="A716" s="1"/>
      <x:c r="B716" s="1"/>
      <x:c r="C716" s="1"/>
      <x:c r="D716" s="1"/>
      <x:c r="E716" s="1"/>
      <x:c r="F716" s="1"/>
    </x:row>
    <x:row r="717">
      <x:c r="A717" s="1"/>
      <x:c r="B717" s="1"/>
      <x:c r="C717" s="1"/>
      <x:c r="D717" s="1"/>
      <x:c r="E717" s="1"/>
      <x:c r="F717" s="1"/>
    </x:row>
    <x:row r="718">
      <x:c r="A718" s="1"/>
      <x:c r="B718" s="1"/>
      <x:c r="C718" s="1"/>
      <x:c r="D718" s="1"/>
      <x:c r="E718" s="1"/>
      <x:c r="F718" s="1"/>
    </x:row>
    <x:row r="719">
      <x:c r="A719" s="1"/>
      <x:c r="B719" s="1"/>
      <x:c r="C719" s="1"/>
      <x:c r="D719" s="1"/>
      <x:c r="E719" s="1"/>
      <x:c r="F719" s="1"/>
    </x:row>
    <x:row r="720">
      <x:c r="A720" s="1"/>
      <x:c r="B720" s="1"/>
      <x:c r="C720" s="1"/>
      <x:c r="D720" s="1"/>
      <x:c r="E720" s="1"/>
      <x:c r="F720" s="1"/>
    </x:row>
    <x:row r="721">
      <x:c r="A721" s="1"/>
      <x:c r="B721" s="1"/>
      <x:c r="C721" s="1"/>
      <x:c r="D721" s="1"/>
      <x:c r="E721" s="1"/>
      <x:c r="F721" s="1"/>
    </x:row>
    <x:row r="722">
      <x:c r="A722" s="1"/>
      <x:c r="B722" s="1"/>
      <x:c r="C722" s="1"/>
      <x:c r="D722" s="1"/>
      <x:c r="E722" s="1"/>
      <x:c r="F722" s="1"/>
    </x:row>
    <x:row r="723">
      <x:c r="A723" s="1"/>
      <x:c r="B723" s="1"/>
      <x:c r="C723" s="1"/>
      <x:c r="D723" s="1"/>
      <x:c r="E723" s="1"/>
      <x:c r="F723" s="1"/>
    </x:row>
    <x:row r="724">
      <x:c r="A724" s="1"/>
      <x:c r="B724" s="1"/>
      <x:c r="C724" s="1"/>
      <x:c r="D724" s="1"/>
      <x:c r="E724" s="1"/>
      <x:c r="F724" s="1"/>
    </x:row>
    <x:row r="725">
      <x:c r="A725" s="1"/>
      <x:c r="B725" s="1"/>
      <x:c r="C725" s="1"/>
      <x:c r="D725" s="1"/>
      <x:c r="E725" s="1"/>
      <x:c r="F725" s="1"/>
    </x:row>
    <x:row r="726">
      <x:c r="A726" s="1"/>
      <x:c r="B726" s="1"/>
      <x:c r="C726" s="1"/>
      <x:c r="D726" s="1"/>
      <x:c r="E726" s="1"/>
      <x:c r="F726" s="1"/>
    </x:row>
    <x:row r="727">
      <x:c r="A727" s="1"/>
      <x:c r="B727" s="1"/>
      <x:c r="C727" s="1"/>
      <x:c r="D727" s="1"/>
      <x:c r="E727" s="1"/>
      <x:c r="F727" s="1"/>
    </x:row>
    <x:row r="728">
      <x:c r="A728" s="1"/>
      <x:c r="B728" s="1"/>
      <x:c r="C728" s="1"/>
      <x:c r="D728" s="1"/>
      <x:c r="E728" s="1"/>
      <x:c r="F728" s="1"/>
    </x:row>
    <x:row r="729">
      <x:c r="A729" s="1"/>
      <x:c r="B729" s="1"/>
      <x:c r="C729" s="1"/>
      <x:c r="D729" s="1"/>
      <x:c r="E729" s="1"/>
      <x:c r="F729" s="1"/>
    </x:row>
    <x:row r="730">
      <x:c r="A730" s="1"/>
      <x:c r="B730" s="1"/>
      <x:c r="C730" s="1"/>
      <x:c r="D730" s="1"/>
      <x:c r="E730" s="1"/>
      <x:c r="F730" s="1"/>
    </x:row>
    <x:row r="731">
      <x:c r="A731" s="1"/>
      <x:c r="B731" s="1"/>
      <x:c r="C731" s="1"/>
      <x:c r="D731" s="1"/>
      <x:c r="E731" s="1"/>
      <x:c r="F731" s="1"/>
    </x:row>
    <x:row r="732">
      <x:c r="A732" s="1"/>
      <x:c r="B732" s="1"/>
      <x:c r="C732" s="1"/>
      <x:c r="D732" s="1"/>
      <x:c r="E732" s="1"/>
      <x:c r="F732" s="1"/>
    </x:row>
    <x:row r="733">
      <x:c r="A733" s="1"/>
      <x:c r="B733" s="1"/>
      <x:c r="C733" s="1"/>
      <x:c r="D733" s="1"/>
      <x:c r="E733" s="1"/>
      <x:c r="F733" s="1"/>
    </x:row>
    <x:row r="734">
      <x:c r="A734" s="1"/>
      <x:c r="B734" s="1"/>
      <x:c r="C734" s="1"/>
      <x:c r="D734" s="1"/>
      <x:c r="E734" s="1"/>
      <x:c r="F734" s="1"/>
    </x:row>
    <x:row r="735">
      <x:c r="A735" s="1"/>
      <x:c r="B735" s="1"/>
      <x:c r="C735" s="1"/>
      <x:c r="D735" s="1"/>
      <x:c r="E735" s="1"/>
      <x:c r="F735" s="1"/>
    </x:row>
    <x:row r="736">
      <x:c r="A736" s="1"/>
      <x:c r="B736" s="1"/>
      <x:c r="C736" s="1"/>
      <x:c r="D736" s="1"/>
      <x:c r="E736" s="1"/>
      <x:c r="F736" s="1"/>
    </x:row>
    <x:row r="737">
      <x:c r="A737" s="1"/>
      <x:c r="B737" s="1"/>
      <x:c r="C737" s="1"/>
      <x:c r="D737" s="1"/>
      <x:c r="E737" s="1"/>
      <x:c r="F737" s="1"/>
    </x:row>
    <x:row r="738">
      <x:c r="A738" s="1"/>
      <x:c r="B738" s="1"/>
      <x:c r="C738" s="1"/>
      <x:c r="D738" s="1"/>
      <x:c r="E738" s="1"/>
      <x:c r="F738" s="1"/>
    </x:row>
    <x:row r="739">
      <x:c r="A739" s="1"/>
      <x:c r="B739" s="1"/>
      <x:c r="C739" s="1"/>
      <x:c r="D739" s="1"/>
      <x:c r="E739" s="1"/>
      <x:c r="F739" s="1"/>
    </x:row>
    <x:row r="740">
      <x:c r="A740" s="1"/>
      <x:c r="B740" s="1"/>
      <x:c r="C740" s="1"/>
      <x:c r="D740" s="1"/>
      <x:c r="E740" s="1"/>
      <x:c r="F740" s="1"/>
    </x:row>
    <x:row r="741">
      <x:c r="A741" s="1"/>
      <x:c r="B741" s="1"/>
      <x:c r="C741" s="1"/>
      <x:c r="D741" s="1"/>
      <x:c r="E741" s="1"/>
      <x:c r="F741" s="1"/>
    </x:row>
    <x:row r="742">
      <x:c r="A742" s="1"/>
      <x:c r="B742" s="1"/>
      <x:c r="C742" s="1"/>
      <x:c r="D742" s="1"/>
      <x:c r="E742" s="1"/>
      <x:c r="F742" s="1"/>
    </x:row>
    <x:row r="743">
      <x:c r="A743" s="1"/>
      <x:c r="B743" s="1"/>
      <x:c r="C743" s="1"/>
      <x:c r="D743" s="1"/>
      <x:c r="E743" s="1"/>
      <x:c r="F743" s="1"/>
    </x:row>
    <x:row r="744">
      <x:c r="A744" s="1"/>
      <x:c r="B744" s="1"/>
      <x:c r="C744" s="1"/>
      <x:c r="D744" s="1"/>
      <x:c r="E744" s="1"/>
      <x:c r="F744" s="1"/>
    </x:row>
    <x:row r="745">
      <x:c r="A745" s="1"/>
      <x:c r="B745" s="1"/>
      <x:c r="C745" s="1"/>
      <x:c r="D745" s="1"/>
      <x:c r="E745" s="1"/>
      <x:c r="F745" s="1"/>
    </x:row>
    <x:row r="746">
      <x:c r="A746" s="1"/>
      <x:c r="B746" s="1"/>
      <x:c r="C746" s="1"/>
      <x:c r="D746" s="1"/>
      <x:c r="E746" s="1"/>
      <x:c r="F746" s="1"/>
    </x:row>
    <x:row r="747">
      <x:c r="A747" s="1"/>
      <x:c r="B747" s="1"/>
      <x:c r="C747" s="1"/>
      <x:c r="D747" s="1"/>
      <x:c r="E747" s="1"/>
      <x:c r="F747" s="1"/>
    </x:row>
    <x:row r="748">
      <x:c r="A748" s="1"/>
      <x:c r="B748" s="1"/>
      <x:c r="C748" s="1"/>
      <x:c r="D748" s="1"/>
      <x:c r="E748" s="1"/>
      <x:c r="F748" s="1"/>
    </x:row>
    <x:row r="749">
      <x:c r="A749" s="1"/>
      <x:c r="B749" s="1"/>
      <x:c r="C749" s="1"/>
      <x:c r="D749" s="1"/>
      <x:c r="E749" s="1"/>
      <x:c r="F749" s="1"/>
    </x:row>
    <x:row r="750">
      <x:c r="A750" s="1"/>
      <x:c r="B750" s="1"/>
      <x:c r="C750" s="1"/>
      <x:c r="D750" s="1"/>
      <x:c r="E750" s="1"/>
      <x:c r="F750" s="1"/>
    </x:row>
    <x:row r="751">
      <x:c r="A751" s="1"/>
      <x:c r="B751" s="1"/>
      <x:c r="C751" s="1"/>
      <x:c r="D751" s="1"/>
      <x:c r="E751" s="1"/>
      <x:c r="F751" s="1"/>
    </x:row>
    <x:row r="752">
      <x:c r="A752" s="1"/>
      <x:c r="B752" s="1"/>
      <x:c r="C752" s="1"/>
      <x:c r="D752" s="1"/>
      <x:c r="E752" s="1"/>
      <x:c r="F752" s="1"/>
    </x:row>
    <x:row r="753">
      <x:c r="A753" s="1"/>
      <x:c r="B753" s="1"/>
      <x:c r="C753" s="1"/>
      <x:c r="D753" s="1"/>
      <x:c r="E753" s="1"/>
      <x:c r="F753" s="1"/>
    </x:row>
    <x:row r="754">
      <x:c r="A754" s="1"/>
      <x:c r="B754" s="1"/>
      <x:c r="C754" s="1"/>
      <x:c r="D754" s="1"/>
      <x:c r="E754" s="1"/>
      <x:c r="F754" s="1"/>
    </x:row>
    <x:row r="755">
      <x:c r="A755" s="1"/>
      <x:c r="B755" s="1"/>
      <x:c r="C755" s="1"/>
      <x:c r="D755" s="1"/>
      <x:c r="E755" s="1"/>
      <x:c r="F755" s="1"/>
    </x:row>
    <x:row r="756">
      <x:c r="A756" s="1"/>
      <x:c r="B756" s="1"/>
      <x:c r="C756" s="1"/>
      <x:c r="D756" s="1"/>
      <x:c r="E756" s="1"/>
      <x:c r="F756" s="1"/>
    </x:row>
    <x:row r="757">
      <x:c r="A757" s="1"/>
      <x:c r="B757" s="1"/>
      <x:c r="C757" s="1"/>
      <x:c r="D757" s="1"/>
      <x:c r="E757" s="1"/>
      <x:c r="F757" s="1"/>
    </x:row>
    <x:row r="758">
      <x:c r="A758" s="1"/>
      <x:c r="B758" s="1"/>
      <x:c r="C758" s="1"/>
      <x:c r="D758" s="1"/>
      <x:c r="E758" s="1"/>
      <x:c r="F758" s="1"/>
    </x:row>
    <x:row r="759">
      <x:c r="A759" s="1"/>
      <x:c r="B759" s="1"/>
      <x:c r="C759" s="1"/>
      <x:c r="D759" s="1"/>
      <x:c r="E759" s="1"/>
      <x:c r="F759" s="1"/>
    </x:row>
    <x:row r="760">
      <x:c r="A760" s="1"/>
      <x:c r="B760" s="1"/>
      <x:c r="C760" s="1"/>
      <x:c r="D760" s="1"/>
      <x:c r="E760" s="1"/>
      <x:c r="F760" s="1"/>
    </x:row>
    <x:row r="761">
      <x:c r="A761" s="1"/>
      <x:c r="B761" s="1"/>
      <x:c r="C761" s="1"/>
      <x:c r="D761" s="1"/>
      <x:c r="E761" s="1"/>
      <x:c r="F761" s="1"/>
    </x:row>
    <x:row r="762">
      <x:c r="A762" s="1"/>
      <x:c r="B762" s="1"/>
      <x:c r="C762" s="1"/>
      <x:c r="D762" s="1"/>
      <x:c r="E762" s="1"/>
      <x:c r="F762" s="1"/>
    </x:row>
    <x:row r="763">
      <x:c r="A763" s="1"/>
      <x:c r="B763" s="1"/>
      <x:c r="C763" s="1"/>
      <x:c r="D763" s="1"/>
      <x:c r="E763" s="1"/>
      <x:c r="F763" s="1"/>
    </x:row>
    <x:row r="764">
      <x:c r="A764" s="1"/>
      <x:c r="B764" s="1"/>
      <x:c r="C764" s="1"/>
      <x:c r="D764" s="1"/>
      <x:c r="E764" s="1"/>
      <x:c r="F764" s="1"/>
    </x:row>
    <x:row r="765">
      <x:c r="A765" s="1"/>
      <x:c r="B765" s="1"/>
      <x:c r="C765" s="1"/>
      <x:c r="D765" s="1"/>
      <x:c r="E765" s="1"/>
      <x:c r="F765" s="1"/>
    </x:row>
    <x:row r="766">
      <x:c r="A766" s="1"/>
      <x:c r="B766" s="1"/>
      <x:c r="C766" s="1"/>
      <x:c r="D766" s="1"/>
      <x:c r="E766" s="1"/>
      <x:c r="F766" s="1"/>
    </x:row>
    <x:row r="767">
      <x:c r="A767" s="1"/>
      <x:c r="B767" s="1"/>
      <x:c r="C767" s="1"/>
      <x:c r="D767" s="1"/>
      <x:c r="E767" s="1"/>
      <x:c r="F767" s="1"/>
    </x:row>
    <x:row r="768">
      <x:c r="A768" s="1"/>
      <x:c r="B768" s="1"/>
      <x:c r="C768" s="1"/>
      <x:c r="D768" s="1"/>
      <x:c r="E768" s="1"/>
      <x:c r="F768" s="1"/>
    </x:row>
    <x:row r="769">
      <x:c r="A769" s="1"/>
      <x:c r="B769" s="1"/>
      <x:c r="C769" s="1"/>
      <x:c r="D769" s="1"/>
      <x:c r="E769" s="1"/>
      <x:c r="F769" s="1"/>
    </x:row>
    <x:row r="770">
      <x:c r="A770" s="1"/>
      <x:c r="B770" s="1"/>
      <x:c r="C770" s="1"/>
      <x:c r="D770" s="1"/>
      <x:c r="E770" s="1"/>
      <x:c r="F770" s="1"/>
    </x:row>
    <x:row r="771">
      <x:c r="A771" s="1"/>
      <x:c r="B771" s="1"/>
      <x:c r="C771" s="1"/>
      <x:c r="D771" s="1"/>
      <x:c r="E771" s="1"/>
      <x:c r="F771" s="1"/>
    </x:row>
    <x:row r="772">
      <x:c r="A772" s="1"/>
      <x:c r="B772" s="1"/>
      <x:c r="C772" s="1"/>
      <x:c r="D772" s="1"/>
      <x:c r="E772" s="1"/>
      <x:c r="F772" s="1"/>
    </x:row>
    <x:row r="773">
      <x:c r="A773" s="1"/>
      <x:c r="B773" s="1"/>
      <x:c r="C773" s="1"/>
      <x:c r="D773" s="1"/>
      <x:c r="E773" s="1"/>
      <x:c r="F773" s="1"/>
    </x:row>
    <x:row r="774">
      <x:c r="A774" s="1"/>
      <x:c r="B774" s="1"/>
      <x:c r="C774" s="1"/>
      <x:c r="D774" s="1"/>
      <x:c r="E774" s="1"/>
      <x:c r="F774" s="1"/>
    </x:row>
    <x:row r="775">
      <x:c r="A775" s="1"/>
      <x:c r="B775" s="1"/>
      <x:c r="C775" s="1"/>
      <x:c r="D775" s="1"/>
      <x:c r="E775" s="1"/>
      <x:c r="F775" s="1"/>
    </x:row>
    <x:row r="776">
      <x:c r="A776" s="1"/>
      <x:c r="B776" s="1"/>
      <x:c r="C776" s="1"/>
      <x:c r="D776" s="1"/>
      <x:c r="E776" s="1"/>
      <x:c r="F776" s="1"/>
    </x:row>
    <x:row r="777">
      <x:c r="A777" s="1"/>
      <x:c r="B777" s="1"/>
      <x:c r="C777" s="1"/>
      <x:c r="D777" s="1"/>
      <x:c r="E777" s="1"/>
      <x:c r="F777" s="1"/>
    </x:row>
    <x:row r="778">
      <x:c r="A778" s="1"/>
      <x:c r="B778" s="1"/>
      <x:c r="C778" s="1"/>
      <x:c r="D778" s="1"/>
      <x:c r="E778" s="1"/>
      <x:c r="F778" s="1"/>
    </x:row>
    <x:row r="779">
      <x:c r="A779" s="1"/>
      <x:c r="B779" s="1"/>
      <x:c r="C779" s="1"/>
      <x:c r="D779" s="1"/>
      <x:c r="E779" s="1"/>
      <x:c r="F779" s="1"/>
    </x:row>
    <x:row r="780">
      <x:c r="A780" s="1"/>
      <x:c r="B780" s="1"/>
      <x:c r="C780" s="1"/>
      <x:c r="D780" s="1"/>
      <x:c r="E780" s="1"/>
      <x:c r="F780" s="1"/>
    </x:row>
    <x:row r="781">
      <x:c r="A781" s="1"/>
      <x:c r="B781" s="1"/>
      <x:c r="C781" s="1"/>
      <x:c r="D781" s="1"/>
      <x:c r="E781" s="1"/>
      <x:c r="F781" s="1"/>
    </x:row>
    <x:row r="782">
      <x:c r="A782" s="1"/>
      <x:c r="B782" s="1"/>
      <x:c r="C782" s="1"/>
      <x:c r="D782" s="1"/>
      <x:c r="E782" s="1"/>
      <x:c r="F782" s="1"/>
    </x:row>
    <x:row r="783">
      <x:c r="A783" s="1"/>
      <x:c r="B783" s="1"/>
      <x:c r="C783" s="1"/>
      <x:c r="D783" s="1"/>
      <x:c r="E783" s="1"/>
      <x:c r="F783" s="1"/>
    </x:row>
    <x:row r="784">
      <x:c r="A784" s="1"/>
      <x:c r="B784" s="1"/>
      <x:c r="C784" s="1"/>
      <x:c r="D784" s="1"/>
      <x:c r="E784" s="1"/>
      <x:c r="F784" s="1"/>
    </x:row>
    <x:row r="785">
      <x:c r="A785" s="1"/>
      <x:c r="B785" s="1"/>
      <x:c r="C785" s="1"/>
      <x:c r="D785" s="1"/>
      <x:c r="E785" s="1"/>
      <x:c r="F785" s="1"/>
    </x:row>
    <x:row r="786">
      <x:c r="A786" s="1"/>
      <x:c r="B786" s="1"/>
      <x:c r="C786" s="1"/>
      <x:c r="D786" s="1"/>
      <x:c r="E786" s="1"/>
      <x:c r="F786" s="1"/>
    </x:row>
    <x:row r="787">
      <x:c r="A787" s="1"/>
      <x:c r="B787" s="1"/>
      <x:c r="C787" s="1"/>
      <x:c r="D787" s="1"/>
      <x:c r="E787" s="1"/>
      <x:c r="F787" s="1"/>
    </x:row>
    <x:row r="788">
      <x:c r="A788" s="1"/>
      <x:c r="B788" s="1"/>
      <x:c r="C788" s="1"/>
      <x:c r="D788" s="1"/>
      <x:c r="E788" s="1"/>
      <x:c r="F788" s="1"/>
    </x:row>
    <x:row r="789">
      <x:c r="A789" s="1"/>
      <x:c r="B789" s="1"/>
      <x:c r="C789" s="1"/>
      <x:c r="D789" s="1"/>
      <x:c r="E789" s="1"/>
      <x:c r="F789" s="1"/>
    </x:row>
    <x:row r="790">
      <x:c r="A790" s="1"/>
      <x:c r="B790" s="1"/>
      <x:c r="C790" s="1"/>
      <x:c r="D790" s="1"/>
      <x:c r="E790" s="1"/>
      <x:c r="F790" s="1"/>
    </x:row>
    <x:row r="791">
      <x:c r="A791" s="1"/>
      <x:c r="B791" s="1"/>
      <x:c r="C791" s="1"/>
      <x:c r="D791" s="1"/>
      <x:c r="E791" s="1"/>
      <x:c r="F791" s="1"/>
    </x:row>
    <x:row r="792">
      <x:c r="A792" s="1"/>
      <x:c r="B792" s="1"/>
      <x:c r="C792" s="1"/>
      <x:c r="D792" s="1"/>
      <x:c r="E792" s="1"/>
      <x:c r="F792" s="1"/>
    </x:row>
    <x:row r="793">
      <x:c r="A793" s="1"/>
      <x:c r="B793" s="1"/>
      <x:c r="C793" s="1"/>
      <x:c r="D793" s="1"/>
      <x:c r="E793" s="1"/>
      <x:c r="F793" s="1"/>
    </x:row>
    <x:row r="794">
      <x:c r="A794" s="1"/>
      <x:c r="B794" s="1"/>
      <x:c r="C794" s="1"/>
      <x:c r="D794" s="1"/>
      <x:c r="E794" s="1"/>
      <x:c r="F794" s="1"/>
    </x:row>
    <x:row r="795">
      <x:c r="A795" s="1"/>
      <x:c r="B795" s="1"/>
      <x:c r="C795" s="1"/>
      <x:c r="D795" s="1"/>
      <x:c r="E795" s="1"/>
      <x:c r="F795" s="1"/>
    </x:row>
    <x:row r="796">
      <x:c r="A796" s="1"/>
      <x:c r="B796" s="1"/>
      <x:c r="C796" s="1"/>
      <x:c r="D796" s="1"/>
      <x:c r="E796" s="1"/>
      <x:c r="F796" s="1"/>
    </x:row>
    <x:row r="797">
      <x:c r="A797" s="1"/>
      <x:c r="B797" s="1"/>
      <x:c r="C797" s="1"/>
      <x:c r="D797" s="1"/>
      <x:c r="E797" s="1"/>
      <x:c r="F797" s="1"/>
    </x:row>
    <x:row r="798">
      <x:c r="A798" s="1"/>
      <x:c r="B798" s="1"/>
      <x:c r="C798" s="1"/>
      <x:c r="D798" s="1"/>
      <x:c r="E798" s="1"/>
      <x:c r="F798" s="1"/>
    </x:row>
    <x:row r="799">
      <x:c r="A799" s="1"/>
      <x:c r="B799" s="1"/>
      <x:c r="C799" s="1"/>
      <x:c r="D799" s="1"/>
      <x:c r="E799" s="1"/>
      <x:c r="F799" s="1"/>
    </x:row>
    <x:row r="800">
      <x:c r="A800" s="1"/>
      <x:c r="B800" s="1"/>
      <x:c r="C800" s="1"/>
      <x:c r="D800" s="1"/>
      <x:c r="E800" s="1"/>
      <x:c r="F800" s="1"/>
    </x:row>
    <x:row r="801">
      <x:c r="A801" s="1"/>
      <x:c r="B801" s="1"/>
      <x:c r="C801" s="1"/>
      <x:c r="D801" s="1"/>
      <x:c r="E801" s="1"/>
      <x:c r="F801" s="1"/>
    </x:row>
    <x:row r="802">
      <x:c r="A802" s="1"/>
      <x:c r="B802" s="1"/>
      <x:c r="C802" s="1"/>
      <x:c r="D802" s="1"/>
      <x:c r="E802" s="1"/>
      <x:c r="F802" s="1"/>
    </x:row>
    <x:row r="803">
      <x:c r="A803" s="1"/>
      <x:c r="B803" s="1"/>
      <x:c r="C803" s="1"/>
      <x:c r="D803" s="1"/>
      <x:c r="E803" s="1"/>
      <x:c r="F803" s="1"/>
    </x:row>
    <x:row r="804">
      <x:c r="A804" s="1"/>
      <x:c r="B804" s="1"/>
      <x:c r="C804" s="1"/>
      <x:c r="D804" s="1"/>
      <x:c r="E804" s="1"/>
      <x:c r="F804" s="1"/>
    </x:row>
    <x:row r="805">
      <x:c r="A805" s="1"/>
      <x:c r="B805" s="1"/>
      <x:c r="C805" s="1"/>
      <x:c r="D805" s="1"/>
      <x:c r="E805" s="1"/>
      <x:c r="F805" s="1"/>
    </x:row>
    <x:row r="806">
      <x:c r="A806" s="1"/>
      <x:c r="B806" s="1"/>
      <x:c r="C806" s="1"/>
      <x:c r="D806" s="1"/>
      <x:c r="E806" s="1"/>
      <x:c r="F806" s="1"/>
    </x:row>
    <x:row r="807">
      <x:c r="A807" s="1"/>
      <x:c r="B807" s="1"/>
      <x:c r="C807" s="1"/>
      <x:c r="D807" s="1"/>
      <x:c r="E807" s="1"/>
      <x:c r="F807" s="1"/>
    </x:row>
    <x:row r="808">
      <x:c r="A808" s="1"/>
      <x:c r="B808" s="1"/>
      <x:c r="C808" s="1"/>
      <x:c r="D808" s="1"/>
      <x:c r="E808" s="1"/>
      <x:c r="F808" s="1"/>
    </x:row>
    <x:row r="809">
      <x:c r="A809" s="1"/>
      <x:c r="B809" s="1"/>
      <x:c r="C809" s="1"/>
      <x:c r="D809" s="1"/>
      <x:c r="E809" s="1"/>
      <x:c r="F809" s="1"/>
    </x:row>
    <x:row r="810">
      <x:c r="A810" s="1"/>
      <x:c r="B810" s="1"/>
      <x:c r="C810" s="1"/>
      <x:c r="D810" s="1"/>
      <x:c r="E810" s="1"/>
      <x:c r="F810" s="1"/>
    </x:row>
    <x:row r="811">
      <x:c r="A811" s="1"/>
      <x:c r="B811" s="1"/>
      <x:c r="C811" s="1"/>
      <x:c r="D811" s="1"/>
      <x:c r="E811" s="1"/>
      <x:c r="F811" s="1"/>
    </x:row>
    <x:row r="812">
      <x:c r="A812" s="1"/>
      <x:c r="B812" s="1"/>
      <x:c r="C812" s="1"/>
      <x:c r="D812" s="1"/>
      <x:c r="E812" s="1"/>
      <x:c r="F812" s="1"/>
    </x:row>
    <x:row r="813">
      <x:c r="A813" s="1"/>
      <x:c r="B813" s="1"/>
      <x:c r="C813" s="1"/>
      <x:c r="D813" s="1"/>
      <x:c r="E813" s="1"/>
      <x:c r="F813" s="1"/>
    </x:row>
    <x:row r="814">
      <x:c r="A814" s="1"/>
      <x:c r="B814" s="1"/>
      <x:c r="C814" s="1"/>
      <x:c r="D814" s="1"/>
      <x:c r="E814" s="1"/>
      <x:c r="F814" s="1"/>
    </x:row>
    <x:row r="815">
      <x:c r="A815" s="1"/>
      <x:c r="B815" s="1"/>
      <x:c r="C815" s="1"/>
      <x:c r="D815" s="1"/>
      <x:c r="E815" s="1"/>
      <x:c r="F815" s="1"/>
    </x:row>
    <x:row r="816">
      <x:c r="A816" s="1"/>
      <x:c r="B816" s="1"/>
      <x:c r="C816" s="1"/>
      <x:c r="D816" s="1"/>
      <x:c r="E816" s="1"/>
      <x:c r="F816" s="1"/>
    </x:row>
    <x:row r="817">
      <x:c r="A817" s="1"/>
      <x:c r="B817" s="1"/>
      <x:c r="C817" s="1"/>
      <x:c r="D817" s="1"/>
      <x:c r="E817" s="1"/>
      <x:c r="F817" s="1"/>
    </x:row>
    <x:row r="818">
      <x:c r="A818" s="1"/>
      <x:c r="B818" s="1"/>
      <x:c r="C818" s="1"/>
      <x:c r="D818" s="1"/>
      <x:c r="E818" s="1"/>
      <x:c r="F818" s="1"/>
    </x:row>
    <x:row r="819">
      <x:c r="A819" s="1"/>
      <x:c r="B819" s="1"/>
      <x:c r="C819" s="1"/>
      <x:c r="D819" s="1"/>
      <x:c r="E819" s="1"/>
      <x:c r="F819" s="1"/>
    </x:row>
    <x:row r="820">
      <x:c r="A820" s="1"/>
      <x:c r="B820" s="1"/>
      <x:c r="C820" s="1"/>
      <x:c r="D820" s="1"/>
      <x:c r="E820" s="1"/>
      <x:c r="F820" s="1"/>
    </x:row>
    <x:row r="821">
      <x:c r="A821" s="1"/>
      <x:c r="B821" s="1"/>
      <x:c r="C821" s="1"/>
      <x:c r="D821" s="1"/>
      <x:c r="E821" s="1"/>
      <x:c r="F821" s="1"/>
    </x:row>
    <x:row r="822">
      <x:c r="A822" s="1"/>
      <x:c r="B822" s="1"/>
      <x:c r="C822" s="1"/>
      <x:c r="D822" s="1"/>
      <x:c r="E822" s="1"/>
      <x:c r="F822" s="1"/>
    </x:row>
    <x:row r="823">
      <x:c r="A823" s="1"/>
      <x:c r="B823" s="1"/>
      <x:c r="C823" s="1"/>
      <x:c r="D823" s="1"/>
      <x:c r="E823" s="1"/>
      <x:c r="F823" s="1"/>
    </x:row>
    <x:row r="824">
      <x:c r="A824" s="1"/>
      <x:c r="B824" s="1"/>
      <x:c r="C824" s="1"/>
      <x:c r="D824" s="1"/>
      <x:c r="E824" s="1"/>
      <x:c r="F824" s="1"/>
    </x:row>
    <x:row r="825">
      <x:c r="A825" s="1"/>
      <x:c r="B825" s="1"/>
      <x:c r="C825" s="1"/>
      <x:c r="D825" s="1"/>
      <x:c r="E825" s="1"/>
      <x:c r="F825" s="1"/>
    </x:row>
    <x:row r="826">
      <x:c r="A826" s="1"/>
      <x:c r="B826" s="1"/>
      <x:c r="C826" s="1"/>
      <x:c r="D826" s="1"/>
      <x:c r="E826" s="1"/>
      <x:c r="F826" s="1"/>
    </x:row>
    <x:row r="827">
      <x:c r="A827" s="1"/>
      <x:c r="B827" s="1"/>
      <x:c r="C827" s="1"/>
      <x:c r="D827" s="1"/>
      <x:c r="E827" s="1"/>
      <x:c r="F827" s="1"/>
    </x:row>
    <x:row r="828">
      <x:c r="A828" s="1"/>
      <x:c r="B828" s="1"/>
      <x:c r="C828" s="1"/>
      <x:c r="D828" s="1"/>
      <x:c r="E828" s="1"/>
      <x:c r="F828" s="1"/>
    </x:row>
    <x:row r="829">
      <x:c r="A829" s="1"/>
      <x:c r="B829" s="1"/>
      <x:c r="C829" s="1"/>
      <x:c r="D829" s="1"/>
      <x:c r="E829" s="1"/>
      <x:c r="F829" s="1"/>
    </x:row>
    <x:row r="830">
      <x:c r="A830" s="1"/>
      <x:c r="B830" s="1"/>
      <x:c r="C830" s="1"/>
      <x:c r="D830" s="1"/>
      <x:c r="E830" s="1"/>
      <x:c r="F830" s="1"/>
    </x:row>
    <x:row r="831">
      <x:c r="A831" s="1"/>
      <x:c r="B831" s="1"/>
      <x:c r="C831" s="1"/>
      <x:c r="D831" s="1"/>
      <x:c r="E831" s="1"/>
      <x:c r="F831" s="1"/>
    </x:row>
    <x:row r="832">
      <x:c r="A832" s="1"/>
      <x:c r="B832" s="1"/>
      <x:c r="C832" s="1"/>
      <x:c r="D832" s="1"/>
      <x:c r="E832" s="1"/>
      <x:c r="F832" s="1"/>
    </x:row>
    <x:row r="833">
      <x:c r="A833" s="1"/>
      <x:c r="B833" s="1"/>
      <x:c r="C833" s="1"/>
      <x:c r="D833" s="1"/>
      <x:c r="E833" s="1"/>
      <x:c r="F833" s="1"/>
    </x:row>
    <x:row r="834">
      <x:c r="A834" s="1"/>
      <x:c r="B834" s="1"/>
      <x:c r="C834" s="1"/>
      <x:c r="D834" s="1"/>
      <x:c r="E834" s="1"/>
      <x:c r="F834" s="1"/>
    </x:row>
    <x:row r="835">
      <x:c r="A835" s="1"/>
      <x:c r="B835" s="1"/>
      <x:c r="C835" s="1"/>
      <x:c r="D835" s="1"/>
      <x:c r="E835" s="1"/>
      <x:c r="F835" s="1"/>
    </x:row>
    <x:row r="836">
      <x:c r="A836" s="1"/>
      <x:c r="B836" s="1"/>
      <x:c r="C836" s="1"/>
      <x:c r="D836" s="1"/>
      <x:c r="E836" s="1"/>
      <x:c r="F836" s="1"/>
    </x:row>
    <x:row r="837">
      <x:c r="A837" s="1"/>
      <x:c r="B837" s="1"/>
      <x:c r="C837" s="1"/>
      <x:c r="D837" s="1"/>
      <x:c r="E837" s="1"/>
      <x:c r="F837" s="1"/>
    </x:row>
    <x:row r="838">
      <x:c r="A838" s="1"/>
      <x:c r="B838" s="1"/>
      <x:c r="C838" s="1"/>
      <x:c r="D838" s="1"/>
      <x:c r="E838" s="1"/>
      <x:c r="F838" s="1"/>
    </x:row>
    <x:row r="839">
      <x:c r="A839" s="1"/>
      <x:c r="B839" s="1"/>
      <x:c r="C839" s="1"/>
      <x:c r="D839" s="1"/>
      <x:c r="E839" s="1"/>
      <x:c r="F839" s="1"/>
    </x:row>
    <x:row r="840">
      <x:c r="A840" s="1"/>
      <x:c r="B840" s="1"/>
      <x:c r="C840" s="1"/>
      <x:c r="D840" s="1"/>
      <x:c r="E840" s="1"/>
      <x:c r="F840" s="1"/>
    </x:row>
    <x:row r="841">
      <x:c r="A841" s="1"/>
      <x:c r="B841" s="1"/>
      <x:c r="C841" s="1"/>
      <x:c r="D841" s="1"/>
      <x:c r="E841" s="1"/>
      <x:c r="F841" s="1"/>
    </x:row>
    <x:row r="842">
      <x:c r="A842" s="1"/>
      <x:c r="B842" s="1"/>
      <x:c r="C842" s="1"/>
      <x:c r="D842" s="1"/>
      <x:c r="E842" s="1"/>
      <x:c r="F842" s="1"/>
    </x:row>
    <x:row r="843">
      <x:c r="A843" s="1"/>
      <x:c r="B843" s="1"/>
      <x:c r="C843" s="1"/>
      <x:c r="D843" s="1"/>
      <x:c r="E843" s="1"/>
      <x:c r="F843" s="1"/>
    </x:row>
    <x:row r="844">
      <x:c r="A844" s="1"/>
      <x:c r="B844" s="1"/>
      <x:c r="C844" s="1"/>
      <x:c r="D844" s="1"/>
      <x:c r="E844" s="1"/>
      <x:c r="F844" s="1"/>
    </x:row>
    <x:row r="845">
      <x:c r="A845" s="1"/>
      <x:c r="B845" s="1"/>
      <x:c r="C845" s="1"/>
      <x:c r="D845" s="1"/>
      <x:c r="E845" s="1"/>
      <x:c r="F845" s="1"/>
    </x:row>
    <x:row r="846">
      <x:c r="A846" s="1"/>
      <x:c r="B846" s="1"/>
      <x:c r="C846" s="1"/>
      <x:c r="D846" s="1"/>
      <x:c r="E846" s="1"/>
      <x:c r="F846" s="1"/>
    </x:row>
    <x:row r="847">
      <x:c r="A847" s="1"/>
      <x:c r="B847" s="1"/>
      <x:c r="C847" s="1"/>
      <x:c r="D847" s="1"/>
      <x:c r="E847" s="1"/>
      <x:c r="F847" s="1"/>
    </x:row>
    <x:row r="848">
      <x:c r="A848" s="1"/>
      <x:c r="B848" s="1"/>
      <x:c r="C848" s="1"/>
      <x:c r="D848" s="1"/>
      <x:c r="E848" s="1"/>
      <x:c r="F848" s="1"/>
    </x:row>
    <x:row r="849">
      <x:c r="A849" s="1"/>
      <x:c r="B849" s="1"/>
      <x:c r="C849" s="1"/>
      <x:c r="D849" s="1"/>
      <x:c r="E849" s="1"/>
      <x:c r="F849" s="1"/>
    </x:row>
    <x:row r="850">
      <x:c r="A850" s="1"/>
      <x:c r="B850" s="1"/>
      <x:c r="C850" s="1"/>
      <x:c r="D850" s="1"/>
      <x:c r="E850" s="1"/>
      <x:c r="F850" s="1"/>
    </x:row>
    <x:row r="851">
      <x:c r="A851" s="1"/>
      <x:c r="B851" s="1"/>
      <x:c r="C851" s="1"/>
      <x:c r="D851" s="1"/>
      <x:c r="E851" s="1"/>
      <x:c r="F851" s="1"/>
    </x:row>
    <x:row r="852">
      <x:c r="A852" s="1"/>
      <x:c r="B852" s="1"/>
      <x:c r="C852" s="1"/>
      <x:c r="D852" s="1"/>
      <x:c r="E852" s="1"/>
      <x:c r="F852" s="1"/>
    </x:row>
    <x:row r="853">
      <x:c r="A853" s="1"/>
      <x:c r="B853" s="1"/>
      <x:c r="C853" s="1"/>
      <x:c r="D853" s="1"/>
      <x:c r="E853" s="1"/>
      <x:c r="F853" s="1"/>
    </x:row>
    <x:row r="854">
      <x:c r="A854" s="1"/>
      <x:c r="B854" s="1"/>
      <x:c r="C854" s="1"/>
      <x:c r="D854" s="1"/>
      <x:c r="E854" s="1"/>
      <x:c r="F854" s="1"/>
    </x:row>
    <x:row r="855">
      <x:c r="A855" s="1"/>
      <x:c r="B855" s="1"/>
      <x:c r="C855" s="1"/>
      <x:c r="D855" s="1"/>
      <x:c r="E855" s="1"/>
      <x:c r="F855" s="1"/>
    </x:row>
    <x:row r="856">
      <x:c r="A856" s="1"/>
      <x:c r="B856" s="1"/>
      <x:c r="C856" s="1"/>
      <x:c r="D856" s="1"/>
      <x:c r="E856" s="1"/>
      <x:c r="F856" s="1"/>
    </x:row>
    <x:row r="857">
      <x:c r="A857" s="1"/>
      <x:c r="B857" s="1"/>
      <x:c r="C857" s="1"/>
      <x:c r="D857" s="1"/>
      <x:c r="E857" s="1"/>
      <x:c r="F857" s="1"/>
    </x:row>
    <x:row r="858">
      <x:c r="A858" s="1"/>
      <x:c r="B858" s="1"/>
      <x:c r="C858" s="1"/>
      <x:c r="D858" s="1"/>
      <x:c r="E858" s="1"/>
      <x:c r="F858" s="1"/>
    </x:row>
    <x:row r="859">
      <x:c r="A859" s="1"/>
      <x:c r="B859" s="1"/>
      <x:c r="C859" s="1"/>
      <x:c r="D859" s="1"/>
      <x:c r="E859" s="1"/>
      <x:c r="F859" s="1"/>
    </x:row>
    <x:row r="860">
      <x:c r="A860" s="1"/>
      <x:c r="B860" s="1"/>
      <x:c r="C860" s="1"/>
      <x:c r="D860" s="1"/>
      <x:c r="E860" s="1"/>
      <x:c r="F860" s="1"/>
    </x:row>
    <x:row r="861">
      <x:c r="A861" s="1"/>
      <x:c r="B861" s="1"/>
      <x:c r="C861" s="1"/>
      <x:c r="D861" s="1"/>
      <x:c r="E861" s="1"/>
      <x:c r="F861" s="1"/>
    </x:row>
    <x:row r="862">
      <x:c r="A862" s="1"/>
      <x:c r="B862" s="1"/>
      <x:c r="C862" s="1"/>
      <x:c r="D862" s="1"/>
      <x:c r="E862" s="1"/>
      <x:c r="F862" s="1"/>
    </x:row>
    <x:row r="863">
      <x:c r="A863" s="1"/>
      <x:c r="B863" s="1"/>
      <x:c r="C863" s="1"/>
      <x:c r="D863" s="1"/>
      <x:c r="E863" s="1"/>
      <x:c r="F863" s="1"/>
    </x:row>
    <x:row r="864">
      <x:c r="A864" s="1"/>
      <x:c r="B864" s="1"/>
      <x:c r="C864" s="1"/>
      <x:c r="D864" s="1"/>
      <x:c r="E864" s="1"/>
      <x:c r="F864" s="1"/>
    </x:row>
    <x:row r="865">
      <x:c r="A865" s="1"/>
      <x:c r="B865" s="1"/>
      <x:c r="C865" s="1"/>
      <x:c r="D865" s="1"/>
      <x:c r="E865" s="1"/>
      <x:c r="F865" s="1"/>
    </x:row>
    <x:row r="866">
      <x:c r="A866" s="1"/>
      <x:c r="B866" s="1"/>
      <x:c r="C866" s="1"/>
      <x:c r="D866" s="1"/>
      <x:c r="E866" s="1"/>
      <x:c r="F866" s="1"/>
    </x:row>
    <x:row r="867">
      <x:c r="A867" s="1"/>
      <x:c r="B867" s="1"/>
      <x:c r="C867" s="1"/>
      <x:c r="D867" s="1"/>
      <x:c r="E867" s="1"/>
      <x:c r="F867" s="1"/>
    </x:row>
    <x:row r="868">
      <x:c r="A868" s="1"/>
      <x:c r="B868" s="1"/>
      <x:c r="C868" s="1"/>
      <x:c r="D868" s="1"/>
      <x:c r="E868" s="1"/>
      <x:c r="F868" s="1"/>
    </x:row>
    <x:row r="869">
      <x:c r="A869" s="1"/>
      <x:c r="B869" s="1"/>
      <x:c r="C869" s="1"/>
      <x:c r="D869" s="1"/>
      <x:c r="E869" s="1"/>
      <x:c r="F869" s="1"/>
    </x:row>
    <x:row r="870">
      <x:c r="A870" s="1"/>
      <x:c r="B870" s="1"/>
      <x:c r="C870" s="1"/>
      <x:c r="D870" s="1"/>
      <x:c r="E870" s="1"/>
      <x:c r="F870" s="1"/>
    </x:row>
    <x:row r="871">
      <x:c r="A871" s="1"/>
      <x:c r="B871" s="1"/>
      <x:c r="C871" s="1"/>
      <x:c r="D871" s="1"/>
      <x:c r="E871" s="1"/>
      <x:c r="F871" s="1"/>
    </x:row>
    <x:row r="872">
      <x:c r="A872" s="1"/>
      <x:c r="B872" s="1"/>
      <x:c r="C872" s="1"/>
      <x:c r="D872" s="1"/>
      <x:c r="E872" s="1"/>
      <x:c r="F872" s="1"/>
    </x:row>
    <x:row r="873">
      <x:c r="A873" s="1"/>
      <x:c r="B873" s="1"/>
      <x:c r="C873" s="1"/>
      <x:c r="D873" s="1"/>
      <x:c r="E873" s="1"/>
      <x:c r="F873" s="1"/>
    </x:row>
    <x:row r="874">
      <x:c r="A874" s="1"/>
      <x:c r="B874" s="1"/>
      <x:c r="C874" s="1"/>
      <x:c r="D874" s="1"/>
      <x:c r="E874" s="1"/>
      <x:c r="F874" s="1"/>
    </x:row>
    <x:row r="875">
      <x:c r="A875" s="1"/>
      <x:c r="B875" s="1"/>
      <x:c r="C875" s="1"/>
      <x:c r="D875" s="1"/>
      <x:c r="E875" s="1"/>
      <x:c r="F875" s="1"/>
    </x:row>
    <x:row r="876">
      <x:c r="A876" s="1"/>
      <x:c r="B876" s="1"/>
      <x:c r="C876" s="1"/>
      <x:c r="D876" s="1"/>
      <x:c r="E876" s="1"/>
      <x:c r="F876" s="1"/>
    </x:row>
    <x:row r="877">
      <x:c r="A877" s="1"/>
      <x:c r="B877" s="1"/>
      <x:c r="C877" s="1"/>
      <x:c r="D877" s="1"/>
      <x:c r="E877" s="1"/>
      <x:c r="F877" s="1"/>
    </x:row>
    <x:row r="878">
      <x:c r="A878" s="1"/>
      <x:c r="B878" s="1"/>
      <x:c r="C878" s="1"/>
      <x:c r="D878" s="1"/>
      <x:c r="E878" s="1"/>
      <x:c r="F878" s="1"/>
    </x:row>
    <x:row r="879">
      <x:c r="A879" s="1"/>
      <x:c r="B879" s="1"/>
      <x:c r="C879" s="1"/>
      <x:c r="D879" s="1"/>
      <x:c r="E879" s="1"/>
      <x:c r="F879" s="1"/>
    </x:row>
    <x:row r="880">
      <x:c r="A880" s="1"/>
      <x:c r="B880" s="1"/>
      <x:c r="C880" s="1"/>
      <x:c r="D880" s="1"/>
      <x:c r="E880" s="1"/>
      <x:c r="F880" s="1"/>
    </x:row>
    <x:row r="881">
      <x:c r="A881" s="1"/>
      <x:c r="B881" s="1"/>
      <x:c r="C881" s="1"/>
      <x:c r="D881" s="1"/>
      <x:c r="E881" s="1"/>
      <x:c r="F881" s="1"/>
    </x:row>
    <x:row r="882">
      <x:c r="A882" s="1"/>
      <x:c r="B882" s="1"/>
      <x:c r="C882" s="1"/>
      <x:c r="D882" s="1"/>
      <x:c r="E882" s="1"/>
      <x:c r="F882" s="1"/>
    </x:row>
    <x:row r="883">
      <x:c r="A883" s="1"/>
      <x:c r="B883" s="1"/>
      <x:c r="C883" s="1"/>
      <x:c r="D883" s="1"/>
      <x:c r="E883" s="1"/>
      <x:c r="F883" s="1"/>
    </x:row>
    <x:row r="884">
      <x:c r="A884" s="1"/>
      <x:c r="B884" s="1"/>
      <x:c r="C884" s="1"/>
      <x:c r="D884" s="1"/>
      <x:c r="E884" s="1"/>
      <x:c r="F884" s="1"/>
    </x:row>
    <x:row r="885">
      <x:c r="A885" s="1"/>
      <x:c r="B885" s="1"/>
      <x:c r="C885" s="1"/>
      <x:c r="D885" s="1"/>
      <x:c r="E885" s="1"/>
      <x:c r="F885" s="1"/>
    </x:row>
    <x:row r="886">
      <x:c r="A886" s="1"/>
      <x:c r="B886" s="1"/>
      <x:c r="C886" s="1"/>
      <x:c r="D886" s="1"/>
      <x:c r="E886" s="1"/>
      <x:c r="F886" s="1"/>
    </x:row>
    <x:row r="887">
      <x:c r="A887" s="1"/>
      <x:c r="B887" s="1"/>
      <x:c r="C887" s="1"/>
      <x:c r="D887" s="1"/>
      <x:c r="E887" s="1"/>
      <x:c r="F887" s="1"/>
    </x:row>
    <x:row r="888">
      <x:c r="A888" s="1"/>
      <x:c r="B888" s="1"/>
      <x:c r="C888" s="1"/>
      <x:c r="D888" s="1"/>
      <x:c r="E888" s="1"/>
      <x:c r="F888" s="1"/>
    </x:row>
    <x:row r="889">
      <x:c r="A889" s="1"/>
      <x:c r="B889" s="1"/>
      <x:c r="C889" s="1"/>
      <x:c r="D889" s="1"/>
      <x:c r="E889" s="1"/>
      <x:c r="F889" s="1"/>
    </x:row>
    <x:row r="890">
      <x:c r="A890" s="1"/>
      <x:c r="B890" s="1"/>
      <x:c r="C890" s="1"/>
      <x:c r="D890" s="1"/>
      <x:c r="E890" s="1"/>
      <x:c r="F890" s="1"/>
    </x:row>
    <x:row r="891">
      <x:c r="A891" s="1"/>
      <x:c r="B891" s="1"/>
      <x:c r="C891" s="1"/>
      <x:c r="D891" s="1"/>
      <x:c r="E891" s="1"/>
      <x:c r="F891" s="1"/>
    </x:row>
    <x:row r="892">
      <x:c r="A892" s="1"/>
      <x:c r="B892" s="1"/>
      <x:c r="C892" s="1"/>
      <x:c r="D892" s="1"/>
      <x:c r="E892" s="1"/>
      <x:c r="F892" s="1"/>
    </x:row>
    <x:row r="893">
      <x:c r="A893" s="1"/>
      <x:c r="B893" s="1"/>
      <x:c r="C893" s="1"/>
      <x:c r="D893" s="1"/>
      <x:c r="E893" s="1"/>
      <x:c r="F893" s="1"/>
    </x:row>
    <x:row r="894">
      <x:c r="A894" s="1"/>
      <x:c r="B894" s="1"/>
      <x:c r="C894" s="1"/>
      <x:c r="D894" s="1"/>
      <x:c r="E894" s="1"/>
      <x:c r="F894" s="1"/>
    </x:row>
    <x:row r="895">
      <x:c r="A895" s="1"/>
      <x:c r="B895" s="1"/>
      <x:c r="C895" s="1"/>
      <x:c r="D895" s="1"/>
      <x:c r="E895" s="1"/>
      <x:c r="F895" s="1"/>
    </x:row>
    <x:row r="896">
      <x:c r="A896" s="1"/>
      <x:c r="B896" s="1"/>
      <x:c r="C896" s="1"/>
      <x:c r="D896" s="1"/>
      <x:c r="E896" s="1"/>
      <x:c r="F896" s="1"/>
    </x:row>
    <x:row r="897">
      <x:c r="A897" s="1"/>
      <x:c r="B897" s="1"/>
      <x:c r="C897" s="1"/>
      <x:c r="D897" s="1"/>
      <x:c r="E897" s="1"/>
      <x:c r="F897" s="1"/>
    </x:row>
    <x:row r="898">
      <x:c r="A898" s="1"/>
      <x:c r="B898" s="1"/>
      <x:c r="C898" s="1"/>
      <x:c r="D898" s="1"/>
      <x:c r="E898" s="1"/>
      <x:c r="F898" s="1"/>
    </x:row>
    <x:row r="899">
      <x:c r="A899" s="1"/>
      <x:c r="B899" s="1"/>
      <x:c r="C899" s="1"/>
      <x:c r="D899" s="1"/>
      <x:c r="E899" s="1"/>
      <x:c r="F899" s="1"/>
    </x:row>
    <x:row r="900">
      <x:c r="A900" s="1"/>
      <x:c r="B900" s="1"/>
      <x:c r="C900" s="1"/>
      <x:c r="D900" s="1"/>
      <x:c r="E900" s="1"/>
      <x:c r="F900" s="1"/>
    </x:row>
    <x:row r="901">
      <x:c r="A901" s="1"/>
      <x:c r="B901" s="1"/>
      <x:c r="C901" s="1"/>
      <x:c r="D901" s="1"/>
      <x:c r="E901" s="1"/>
      <x:c r="F901" s="1"/>
    </x:row>
    <x:row r="902">
      <x:c r="A902" s="1"/>
      <x:c r="B902" s="1"/>
      <x:c r="C902" s="1"/>
      <x:c r="D902" s="1"/>
      <x:c r="E902" s="1"/>
      <x:c r="F902" s="1"/>
    </x:row>
    <x:row r="903">
      <x:c r="A903" s="1"/>
      <x:c r="B903" s="1"/>
      <x:c r="C903" s="1"/>
      <x:c r="D903" s="1"/>
      <x:c r="E903" s="1"/>
      <x:c r="F903" s="1"/>
    </x:row>
    <x:row r="904">
      <x:c r="A904" s="1"/>
      <x:c r="B904" s="1"/>
      <x:c r="C904" s="1"/>
      <x:c r="D904" s="1"/>
      <x:c r="E904" s="1"/>
      <x:c r="F904" s="1"/>
    </x:row>
    <x:row r="905">
      <x:c r="A905" s="1"/>
      <x:c r="B905" s="1"/>
      <x:c r="C905" s="1"/>
      <x:c r="D905" s="1"/>
      <x:c r="E905" s="1"/>
      <x:c r="F905" s="1"/>
    </x:row>
    <x:row r="906">
      <x:c r="A906" s="1"/>
      <x:c r="B906" s="1"/>
      <x:c r="C906" s="1"/>
      <x:c r="D906" s="1"/>
      <x:c r="E906" s="1"/>
      <x:c r="F906" s="1"/>
    </x:row>
    <x:row r="907">
      <x:c r="A907" s="1"/>
      <x:c r="B907" s="1"/>
      <x:c r="C907" s="1"/>
      <x:c r="D907" s="1"/>
      <x:c r="E907" s="1"/>
      <x:c r="F907" s="1"/>
    </x:row>
    <x:row r="908">
      <x:c r="A908" s="1"/>
      <x:c r="B908" s="1"/>
      <x:c r="C908" s="1"/>
      <x:c r="D908" s="1"/>
      <x:c r="E908" s="1"/>
      <x:c r="F908" s="1"/>
    </x:row>
    <x:row r="909">
      <x:c r="A909" s="1"/>
      <x:c r="B909" s="1"/>
      <x:c r="C909" s="1"/>
      <x:c r="D909" s="1"/>
      <x:c r="E909" s="1"/>
      <x:c r="F909" s="1"/>
    </x:row>
    <x:row r="910">
      <x:c r="A910" s="1"/>
      <x:c r="B910" s="1"/>
      <x:c r="C910" s="1"/>
      <x:c r="D910" s="1"/>
      <x:c r="E910" s="1"/>
      <x:c r="F910" s="1"/>
    </x:row>
    <x:row r="911">
      <x:c r="A911" s="1"/>
      <x:c r="B911" s="1"/>
      <x:c r="C911" s="1"/>
      <x:c r="D911" s="1"/>
      <x:c r="E911" s="1"/>
      <x:c r="F911" s="1"/>
    </x:row>
    <x:row r="912">
      <x:c r="A912" s="1"/>
      <x:c r="B912" s="1"/>
      <x:c r="C912" s="1"/>
      <x:c r="D912" s="1"/>
      <x:c r="E912" s="1"/>
      <x:c r="F912" s="1"/>
    </x:row>
    <x:row r="913">
      <x:c r="A913" s="1"/>
      <x:c r="B913" s="1"/>
      <x:c r="C913" s="1"/>
      <x:c r="D913" s="1"/>
      <x:c r="E913" s="1"/>
      <x:c r="F913" s="1"/>
    </x:row>
    <x:row r="914">
      <x:c r="A914" s="1"/>
      <x:c r="B914" s="1"/>
      <x:c r="C914" s="1"/>
      <x:c r="D914" s="1"/>
      <x:c r="E914" s="1"/>
      <x:c r="F914" s="1"/>
    </x:row>
    <x:row r="915">
      <x:c r="A915" s="1"/>
      <x:c r="B915" s="1"/>
      <x:c r="C915" s="1"/>
      <x:c r="D915" s="1"/>
      <x:c r="E915" s="1"/>
      <x:c r="F915" s="1"/>
    </x:row>
    <x:row r="916">
      <x:c r="A916" s="1"/>
      <x:c r="B916" s="1"/>
      <x:c r="C916" s="1"/>
      <x:c r="D916" s="1"/>
      <x:c r="E916" s="1"/>
      <x:c r="F916" s="1"/>
    </x:row>
    <x:row r="917">
      <x:c r="A917" s="1"/>
      <x:c r="B917" s="1"/>
      <x:c r="C917" s="1"/>
      <x:c r="D917" s="1"/>
      <x:c r="E917" s="1"/>
      <x:c r="F917" s="1"/>
    </x:row>
    <x:row r="918">
      <x:c r="A918" s="1"/>
      <x:c r="B918" s="1"/>
      <x:c r="C918" s="1"/>
      <x:c r="D918" s="1"/>
      <x:c r="E918" s="1"/>
      <x:c r="F918" s="1"/>
    </x:row>
    <x:row r="919">
      <x:c r="A919" s="1"/>
      <x:c r="B919" s="1"/>
      <x:c r="C919" s="1"/>
      <x:c r="D919" s="1"/>
      <x:c r="E919" s="1"/>
      <x:c r="F919" s="1"/>
    </x:row>
    <x:row r="920">
      <x:c r="A920" s="1"/>
      <x:c r="B920" s="1"/>
      <x:c r="C920" s="1"/>
      <x:c r="D920" s="1"/>
      <x:c r="E920" s="1"/>
      <x:c r="F920" s="1"/>
    </x:row>
    <x:row r="921">
      <x:c r="A921" s="1"/>
      <x:c r="B921" s="1"/>
      <x:c r="C921" s="1"/>
      <x:c r="D921" s="1"/>
      <x:c r="E921" s="1"/>
      <x:c r="F921" s="1"/>
    </x:row>
    <x:row r="922">
      <x:c r="A922" s="1"/>
      <x:c r="B922" s="1"/>
      <x:c r="C922" s="1"/>
      <x:c r="D922" s="1"/>
      <x:c r="E922" s="1"/>
      <x:c r="F922" s="1"/>
    </x:row>
    <x:row r="923">
      <x:c r="A923" s="1"/>
      <x:c r="B923" s="1"/>
      <x:c r="C923" s="1"/>
      <x:c r="D923" s="1"/>
      <x:c r="E923" s="1"/>
      <x:c r="F923" s="1"/>
    </x:row>
    <x:row r="924">
      <x:c r="A924" s="1"/>
      <x:c r="B924" s="1"/>
      <x:c r="C924" s="1"/>
      <x:c r="D924" s="1"/>
      <x:c r="E924" s="1"/>
      <x:c r="F924" s="1"/>
    </x:row>
    <x:row r="925">
      <x:c r="A925" s="1"/>
      <x:c r="B925" s="1"/>
      <x:c r="C925" s="1"/>
      <x:c r="D925" s="1"/>
      <x:c r="E925" s="1"/>
      <x:c r="F925" s="1"/>
    </x:row>
    <x:row r="926">
      <x:c r="A926" s="1"/>
      <x:c r="B926" s="1"/>
      <x:c r="C926" s="1"/>
      <x:c r="D926" s="1"/>
      <x:c r="E926" s="1"/>
      <x:c r="F926" s="1"/>
    </x:row>
    <x:row r="927">
      <x:c r="A927" s="1"/>
      <x:c r="B927" s="1"/>
      <x:c r="C927" s="1"/>
      <x:c r="D927" s="1"/>
      <x:c r="E927" s="1"/>
      <x:c r="F927" s="1"/>
    </x:row>
    <x:row r="928">
      <x:c r="A928" s="1"/>
      <x:c r="B928" s="1"/>
      <x:c r="C928" s="1"/>
      <x:c r="D928" s="1"/>
      <x:c r="E928" s="1"/>
      <x:c r="F928" s="1"/>
    </x:row>
    <x:row r="929">
      <x:c r="A929" s="1"/>
      <x:c r="B929" s="1"/>
      <x:c r="C929" s="1"/>
      <x:c r="D929" s="1"/>
      <x:c r="E929" s="1"/>
      <x:c r="F929" s="1"/>
    </x:row>
    <x:row r="930">
      <x:c r="A930" s="1"/>
      <x:c r="B930" s="1"/>
      <x:c r="C930" s="1"/>
      <x:c r="D930" s="1"/>
      <x:c r="E930" s="1"/>
      <x:c r="F930" s="1"/>
    </x:row>
    <x:row r="931">
      <x:c r="A931" s="1"/>
      <x:c r="B931" s="1"/>
      <x:c r="C931" s="1"/>
      <x:c r="D931" s="1"/>
      <x:c r="E931" s="1"/>
      <x:c r="F931" s="1"/>
    </x:row>
    <x:row r="932">
      <x:c r="A932" s="1"/>
      <x:c r="B932" s="1"/>
      <x:c r="C932" s="1"/>
      <x:c r="D932" s="1"/>
      <x:c r="E932" s="1"/>
      <x:c r="F932" s="1"/>
    </x:row>
    <x:row r="933">
      <x:c r="A933" s="1"/>
      <x:c r="B933" s="1"/>
      <x:c r="C933" s="1"/>
      <x:c r="D933" s="1"/>
      <x:c r="E933" s="1"/>
      <x:c r="F933" s="1"/>
    </x:row>
    <x:row r="934">
      <x:c r="A934" s="1"/>
      <x:c r="B934" s="1"/>
      <x:c r="C934" s="1"/>
      <x:c r="D934" s="1"/>
      <x:c r="E934" s="1"/>
      <x:c r="F934" s="1"/>
    </x:row>
    <x:row r="935">
      <x:c r="A935" s="1"/>
      <x:c r="B935" s="1"/>
      <x:c r="C935" s="1"/>
      <x:c r="D935" s="1"/>
      <x:c r="E935" s="1"/>
      <x:c r="F935" s="1"/>
    </x:row>
    <x:row r="936">
      <x:c r="A936" s="1"/>
      <x:c r="B936" s="1"/>
      <x:c r="C936" s="1"/>
      <x:c r="D936" s="1"/>
      <x:c r="E936" s="1"/>
      <x:c r="F936" s="1"/>
    </x:row>
    <x:row r="937">
      <x:c r="A937" s="1"/>
      <x:c r="B937" s="1"/>
      <x:c r="C937" s="1"/>
      <x:c r="D937" s="1"/>
      <x:c r="E937" s="1"/>
      <x:c r="F937" s="1"/>
    </x:row>
    <x:row r="938">
      <x:c r="A938" s="1"/>
      <x:c r="B938" s="1"/>
      <x:c r="C938" s="1"/>
      <x:c r="D938" s="1"/>
      <x:c r="E938" s="1"/>
      <x:c r="F938" s="1"/>
    </x:row>
    <x:row r="939">
      <x:c r="A939" s="1"/>
      <x:c r="B939" s="1"/>
      <x:c r="C939" s="1"/>
      <x:c r="D939" s="1"/>
      <x:c r="E939" s="1"/>
      <x:c r="F939" s="1"/>
    </x:row>
    <x:row r="940">
      <x:c r="A940" s="1"/>
      <x:c r="B940" s="1"/>
      <x:c r="C940" s="1"/>
      <x:c r="D940" s="1"/>
      <x:c r="E940" s="1"/>
      <x:c r="F940" s="1"/>
    </x:row>
    <x:row r="941">
      <x:c r="A941" s="1"/>
      <x:c r="B941" s="1"/>
      <x:c r="C941" s="1"/>
      <x:c r="D941" s="1"/>
      <x:c r="E941" s="1"/>
      <x:c r="F941" s="1"/>
    </x:row>
    <x:row r="942">
      <x:c r="A942" s="1"/>
      <x:c r="B942" s="1"/>
      <x:c r="C942" s="1"/>
      <x:c r="D942" s="1"/>
      <x:c r="E942" s="1"/>
      <x:c r="F942" s="1"/>
    </x:row>
    <x:row r="943">
      <x:c r="A943" s="1"/>
      <x:c r="B943" s="1"/>
      <x:c r="C943" s="1"/>
      <x:c r="D943" s="1"/>
      <x:c r="E943" s="1"/>
      <x:c r="F943" s="1"/>
    </x:row>
    <x:row r="944">
      <x:c r="A944" s="1"/>
      <x:c r="B944" s="1"/>
      <x:c r="C944" s="1"/>
      <x:c r="D944" s="1"/>
      <x:c r="E944" s="1"/>
      <x:c r="F944" s="1"/>
    </x:row>
    <x:row r="945">
      <x:c r="A945" s="1"/>
      <x:c r="B945" s="1"/>
      <x:c r="C945" s="1"/>
      <x:c r="D945" s="1"/>
      <x:c r="E945" s="1"/>
      <x:c r="F945" s="1"/>
    </x:row>
    <x:row r="946">
      <x:c r="A946" s="1"/>
      <x:c r="B946" s="1"/>
      <x:c r="C946" s="1"/>
      <x:c r="D946" s="1"/>
      <x:c r="E946" s="1"/>
      <x:c r="F946" s="1"/>
    </x:row>
    <x:row r="947">
      <x:c r="A947" s="1"/>
      <x:c r="B947" s="1"/>
      <x:c r="C947" s="1"/>
      <x:c r="D947" s="1"/>
      <x:c r="E947" s="1"/>
      <x:c r="F947" s="1"/>
    </x:row>
    <x:row r="948">
      <x:c r="A948" s="1"/>
      <x:c r="B948" s="1"/>
      <x:c r="C948" s="1"/>
      <x:c r="D948" s="1"/>
      <x:c r="E948" s="1"/>
      <x:c r="F948" s="1"/>
    </x:row>
    <x:row r="949">
      <x:c r="A949" s="1"/>
      <x:c r="B949" s="1"/>
      <x:c r="C949" s="1"/>
      <x:c r="D949" s="1"/>
      <x:c r="E949" s="1"/>
      <x:c r="F949" s="1"/>
    </x:row>
    <x:row r="950">
      <x:c r="A950" s="1"/>
      <x:c r="B950" s="1"/>
      <x:c r="C950" s="1"/>
      <x:c r="D950" s="1"/>
      <x:c r="E950" s="1"/>
      <x:c r="F950" s="1"/>
    </x:row>
    <x:row r="951">
      <x:c r="A951" s="1"/>
      <x:c r="B951" s="1"/>
      <x:c r="C951" s="1"/>
      <x:c r="D951" s="1"/>
      <x:c r="E951" s="1"/>
      <x:c r="F951" s="1"/>
    </x:row>
    <x:row r="952">
      <x:c r="A952" s="1"/>
      <x:c r="B952" s="1"/>
      <x:c r="C952" s="1"/>
      <x:c r="D952" s="1"/>
      <x:c r="E952" s="1"/>
      <x:c r="F952" s="1"/>
    </x:row>
    <x:row r="953">
      <x:c r="A953" s="1"/>
      <x:c r="B953" s="1"/>
      <x:c r="C953" s="1"/>
      <x:c r="D953" s="1"/>
      <x:c r="E953" s="1"/>
      <x:c r="F953" s="1"/>
    </x:row>
    <x:row r="954">
      <x:c r="A954" s="1"/>
      <x:c r="B954" s="1"/>
      <x:c r="C954" s="1"/>
      <x:c r="D954" s="1"/>
      <x:c r="E954" s="1"/>
      <x:c r="F954" s="1"/>
    </x:row>
    <x:row r="955">
      <x:c r="A955" s="1"/>
      <x:c r="B955" s="1"/>
      <x:c r="C955" s="1"/>
      <x:c r="D955" s="1"/>
      <x:c r="E955" s="1"/>
      <x:c r="F955" s="1"/>
    </x:row>
    <x:row r="956">
      <x:c r="A956" s="1"/>
      <x:c r="B956" s="1"/>
      <x:c r="C956" s="1"/>
      <x:c r="D956" s="1"/>
      <x:c r="E956" s="1"/>
      <x:c r="F956" s="1"/>
    </x:row>
    <x:row r="957">
      <x:c r="A957" s="1"/>
      <x:c r="B957" s="1"/>
      <x:c r="C957" s="1"/>
      <x:c r="D957" s="1"/>
      <x:c r="E957" s="1"/>
      <x:c r="F957" s="1"/>
    </x:row>
    <x:row r="958">
      <x:c r="A958" s="1"/>
      <x:c r="B958" s="1"/>
      <x:c r="C958" s="1"/>
      <x:c r="D958" s="1"/>
      <x:c r="E958" s="1"/>
      <x:c r="F958" s="1"/>
    </x:row>
    <x:row r="959">
      <x:c r="A959" s="1"/>
      <x:c r="B959" s="1"/>
      <x:c r="C959" s="1"/>
      <x:c r="D959" s="1"/>
      <x:c r="E959" s="1"/>
      <x:c r="F959" s="1"/>
    </x:row>
    <x:row r="960">
      <x:c r="A960" s="1"/>
      <x:c r="B960" s="1"/>
      <x:c r="C960" s="1"/>
      <x:c r="D960" s="1"/>
      <x:c r="E960" s="1"/>
      <x:c r="F960" s="1"/>
    </x:row>
    <x:row r="961">
      <x:c r="A961" s="1"/>
      <x:c r="B961" s="1"/>
      <x:c r="C961" s="1"/>
      <x:c r="D961" s="1"/>
      <x:c r="E961" s="1"/>
      <x:c r="F961" s="1"/>
    </x:row>
    <x:row r="962">
      <x:c r="A962" s="1"/>
      <x:c r="B962" s="1"/>
      <x:c r="C962" s="1"/>
      <x:c r="D962" s="1"/>
      <x:c r="E962" s="1"/>
      <x:c r="F962" s="1"/>
    </x:row>
    <x:row r="963">
      <x:c r="A963" s="1"/>
      <x:c r="B963" s="1"/>
      <x:c r="C963" s="1"/>
      <x:c r="D963" s="1"/>
      <x:c r="E963" s="1"/>
      <x:c r="F963" s="1"/>
    </x:row>
    <x:row r="964">
      <x:c r="A964" s="1"/>
      <x:c r="B964" s="1"/>
      <x:c r="C964" s="1"/>
      <x:c r="D964" s="1"/>
      <x:c r="E964" s="1"/>
      <x:c r="F964" s="1"/>
    </x:row>
    <x:row r="965">
      <x:c r="A965" s="1"/>
      <x:c r="B965" s="1"/>
      <x:c r="C965" s="1"/>
      <x:c r="D965" s="1"/>
      <x:c r="E965" s="1"/>
      <x:c r="F965" s="1"/>
    </x:row>
    <x:row r="966">
      <x:c r="A966" s="1"/>
      <x:c r="B966" s="1"/>
      <x:c r="C966" s="1"/>
      <x:c r="D966" s="1"/>
      <x:c r="E966" s="1"/>
      <x:c r="F966" s="1"/>
    </x:row>
    <x:row r="967">
      <x:c r="A967" s="1"/>
      <x:c r="B967" s="1"/>
      <x:c r="C967" s="1"/>
      <x:c r="D967" s="1"/>
      <x:c r="E967" s="1"/>
      <x:c r="F967" s="1"/>
    </x:row>
    <x:row r="968">
      <x:c r="A968" s="1"/>
      <x:c r="B968" s="1"/>
      <x:c r="C968" s="1"/>
      <x:c r="D968" s="1"/>
      <x:c r="E968" s="1"/>
      <x:c r="F968" s="1"/>
    </x:row>
    <x:row r="969">
      <x:c r="A969" s="1"/>
      <x:c r="B969" s="1"/>
      <x:c r="C969" s="1"/>
      <x:c r="D969" s="1"/>
      <x:c r="E969" s="1"/>
      <x:c r="F969" s="1"/>
    </x:row>
    <x:row r="970">
      <x:c r="A970" s="1"/>
      <x:c r="B970" s="1"/>
      <x:c r="C970" s="1"/>
      <x:c r="D970" s="1"/>
      <x:c r="E970" s="1"/>
      <x:c r="F970" s="1"/>
    </x:row>
    <x:row r="971">
      <x:c r="A971" s="1"/>
      <x:c r="B971" s="1"/>
      <x:c r="C971" s="1"/>
      <x:c r="D971" s="1"/>
      <x:c r="E971" s="1"/>
      <x:c r="F971" s="1"/>
    </x:row>
    <x:row r="972">
      <x:c r="A972" s="1"/>
      <x:c r="B972" s="1"/>
      <x:c r="C972" s="1"/>
      <x:c r="D972" s="1"/>
      <x:c r="E972" s="1"/>
      <x:c r="F972" s="1"/>
    </x:row>
    <x:row r="973">
      <x:c r="A973" s="1"/>
      <x:c r="B973" s="1"/>
      <x:c r="C973" s="1"/>
      <x:c r="D973" s="1"/>
      <x:c r="E973" s="1"/>
      <x:c r="F973" s="1"/>
    </x:row>
    <x:row r="974">
      <x:c r="A974" s="1"/>
      <x:c r="B974" s="1"/>
      <x:c r="C974" s="1"/>
      <x:c r="D974" s="1"/>
      <x:c r="E974" s="1"/>
      <x:c r="F974" s="1"/>
    </x:row>
    <x:row r="975">
      <x:c r="A975" s="1"/>
      <x:c r="B975" s="1"/>
      <x:c r="C975" s="1"/>
      <x:c r="D975" s="1"/>
      <x:c r="E975" s="1"/>
      <x:c r="F975" s="1"/>
    </x:row>
    <x:row r="976">
      <x:c r="A976" s="1"/>
      <x:c r="B976" s="1"/>
      <x:c r="C976" s="1"/>
      <x:c r="D976" s="1"/>
      <x:c r="E976" s="1"/>
      <x:c r="F976" s="1"/>
    </x:row>
    <x:row r="977">
      <x:c r="A977" s="1"/>
      <x:c r="B977" s="1"/>
      <x:c r="C977" s="1"/>
      <x:c r="D977" s="1"/>
      <x:c r="E977" s="1"/>
      <x:c r="F977" s="1"/>
    </x:row>
    <x:row r="978">
      <x:c r="A978" s="1"/>
      <x:c r="B978" s="1"/>
      <x:c r="C978" s="1"/>
      <x:c r="D978" s="1"/>
      <x:c r="E978" s="1"/>
      <x:c r="F978" s="1"/>
    </x:row>
    <x:row r="979">
      <x:c r="A979" s="1"/>
      <x:c r="B979" s="1"/>
      <x:c r="C979" s="1"/>
      <x:c r="D979" s="1"/>
      <x:c r="E979" s="1"/>
      <x:c r="F979" s="1"/>
    </x:row>
    <x:row r="980">
      <x:c r="A980" s="1"/>
      <x:c r="B980" s="1"/>
      <x:c r="C980" s="1"/>
      <x:c r="D980" s="1"/>
      <x:c r="E980" s="1"/>
      <x:c r="F980" s="1"/>
    </x:row>
    <x:row r="981">
      <x:c r="A981" s="1"/>
      <x:c r="B981" s="1"/>
      <x:c r="C981" s="1"/>
      <x:c r="D981" s="1"/>
      <x:c r="E981" s="1"/>
      <x:c r="F981" s="1"/>
    </x:row>
    <x:row r="982">
      <x:c r="A982" s="1"/>
      <x:c r="B982" s="1"/>
      <x:c r="C982" s="1"/>
      <x:c r="D982" s="1"/>
      <x:c r="E982" s="1"/>
      <x:c r="F982" s="1"/>
    </x:row>
    <x:row r="983">
      <x:c r="A983" s="1"/>
      <x:c r="B983" s="1"/>
      <x:c r="C983" s="1"/>
      <x:c r="D983" s="1"/>
      <x:c r="E983" s="1"/>
      <x:c r="F983" s="1"/>
    </x:row>
    <x:row r="984">
      <x:c r="A984" s="1"/>
      <x:c r="B984" s="1"/>
      <x:c r="C984" s="1"/>
      <x:c r="D984" s="1"/>
      <x:c r="E984" s="1"/>
      <x:c r="F984" s="1"/>
    </x:row>
    <x:row r="985">
      <x:c r="A985" s="1"/>
      <x:c r="B985" s="1"/>
      <x:c r="C985" s="1"/>
      <x:c r="D985" s="1"/>
      <x:c r="E985" s="1"/>
      <x:c r="F985" s="1"/>
    </x:row>
    <x:row r="986">
      <x:c r="A986" s="1"/>
      <x:c r="B986" s="1"/>
      <x:c r="C986" s="1"/>
      <x:c r="D986" s="1"/>
      <x:c r="E986" s="1"/>
      <x:c r="F986" s="1"/>
    </x:row>
    <x:row r="987">
      <x:c r="A987" s="1"/>
      <x:c r="B987" s="1"/>
      <x:c r="C987" s="1"/>
      <x:c r="D987" s="1"/>
      <x:c r="E987" s="1"/>
      <x:c r="F987" s="1"/>
    </x:row>
    <x:row r="988">
      <x:c r="A988" s="1"/>
      <x:c r="B988" s="1"/>
      <x:c r="C988" s="1"/>
      <x:c r="D988" s="1"/>
      <x:c r="E988" s="1"/>
      <x:c r="F988" s="1"/>
    </x:row>
    <x:row r="989">
      <x:c r="A989" s="1"/>
      <x:c r="B989" s="1"/>
      <x:c r="C989" s="1"/>
      <x:c r="D989" s="1"/>
      <x:c r="E989" s="1"/>
      <x:c r="F989" s="1"/>
    </x:row>
    <x:row r="990">
      <x:c r="A990" s="1"/>
      <x:c r="B990" s="1"/>
      <x:c r="C990" s="1"/>
      <x:c r="D990" s="1"/>
      <x:c r="E990" s="1"/>
      <x:c r="F990" s="1"/>
    </x:row>
    <x:row r="991">
      <x:c r="A991" s="1"/>
      <x:c r="B991" s="1"/>
      <x:c r="C991" s="1"/>
      <x:c r="D991" s="1"/>
      <x:c r="E991" s="1"/>
      <x:c r="F991" s="1"/>
    </x:row>
    <x:row r="992">
      <x:c r="A992" s="1"/>
      <x:c r="B992" s="1"/>
      <x:c r="C992" s="1"/>
      <x:c r="D992" s="1"/>
      <x:c r="E992" s="1"/>
      <x:c r="F992" s="1"/>
    </x:row>
    <x:row r="993">
      <x:c r="A993" s="1"/>
      <x:c r="B993" s="1"/>
      <x:c r="C993" s="1"/>
      <x:c r="D993" s="1"/>
      <x:c r="E993" s="1"/>
      <x:c r="F993" s="1"/>
    </x:row>
    <x:row r="994">
      <x:c r="A994" s="1"/>
      <x:c r="B994" s="1"/>
      <x:c r="C994" s="1"/>
      <x:c r="D994" s="1"/>
      <x:c r="E994" s="1"/>
      <x:c r="F994" s="1"/>
    </x:row>
    <x:row r="995">
      <x:c r="A995" s="1"/>
      <x:c r="B995" s="1"/>
      <x:c r="C995" s="1"/>
      <x:c r="D995" s="1"/>
      <x:c r="E995" s="1"/>
      <x:c r="F995" s="1"/>
    </x:row>
    <x:row r="996">
      <x:c r="A996" s="1"/>
      <x:c r="B996" s="1"/>
      <x:c r="C996" s="1"/>
      <x:c r="D996" s="1"/>
      <x:c r="E996" s="1"/>
      <x:c r="F996" s="1"/>
    </x:row>
    <x:row r="997">
      <x:c r="A997" s="1"/>
      <x:c r="B997" s="1"/>
      <x:c r="C997" s="1"/>
      <x:c r="D997" s="1"/>
      <x:c r="E997" s="1"/>
      <x:c r="F997" s="1"/>
    </x:row>
    <x:row r="998">
      <x:c r="A998" s="1"/>
      <x:c r="B998" s="1"/>
      <x:c r="C998" s="1"/>
      <x:c r="D998" s="1"/>
      <x:c r="E998" s="1"/>
      <x:c r="F998" s="1"/>
    </x:row>
    <x:row r="999">
      <x:c r="A999" s="1"/>
      <x:c r="B999" s="1"/>
      <x:c r="C999" s="1"/>
      <x:c r="D999" s="1"/>
      <x:c r="E999" s="1"/>
      <x:c r="F999" s="1"/>
    </x:row>
    <x:row r="1000">
      <x:c r="A1000" s="1"/>
      <x:c r="B1000" s="1"/>
      <x:c r="C1000" s="1"/>
      <x:c r="D1000" s="1"/>
      <x:c r="E1000" s="1"/>
      <x:c r="F1000" s="1"/>
    </x:row>
    <x:row r="1001">
      <x:c r="A1001" s="1"/>
      <x:c r="B1001" s="1"/>
      <x:c r="C1001" s="1"/>
      <x:c r="D1001" s="1"/>
      <x:c r="E1001" s="1"/>
      <x:c r="F1001" s="1"/>
    </x:row>
    <x:row r="1002">
      <x:c r="A1002" s="1"/>
      <x:c r="B1002" s="1"/>
      <x:c r="C1002" s="1"/>
      <x:c r="D1002" s="1"/>
      <x:c r="E1002" s="1"/>
      <x:c r="F1002" s="1"/>
    </x:row>
    <x:row r="1003">
      <x:c r="A1003" s="1"/>
      <x:c r="B1003" s="1"/>
      <x:c r="C1003" s="1"/>
      <x:c r="D1003" s="1"/>
      <x:c r="E1003" s="1"/>
      <x:c r="F1003" s="1"/>
    </x:row>
    <x:row r="1004">
      <x:c r="A1004" s="1"/>
      <x:c r="B1004" s="1"/>
      <x:c r="C1004" s="1"/>
      <x:c r="D1004" s="1"/>
      <x:c r="E1004" s="1"/>
      <x:c r="F1004" s="1"/>
    </x:row>
    <x:row r="1005">
      <x:c r="A1005" s="1"/>
      <x:c r="B1005" s="1"/>
      <x:c r="C1005" s="1"/>
      <x:c r="D1005" s="1"/>
      <x:c r="E1005" s="1"/>
      <x:c r="F1005" s="1"/>
    </x:row>
    <x:row r="1006">
      <x:c r="A1006" s="1"/>
      <x:c r="B1006" s="1"/>
      <x:c r="C1006" s="1"/>
      <x:c r="D1006" s="1"/>
      <x:c r="E1006" s="1"/>
      <x:c r="F1006" s="1"/>
    </x:row>
    <x:row r="1007">
      <x:c r="A1007" s="1"/>
      <x:c r="B1007" s="1"/>
      <x:c r="C1007" s="1"/>
      <x:c r="D1007" s="1"/>
      <x:c r="E1007" s="1"/>
      <x:c r="F1007" s="1"/>
    </x:row>
    <x:row r="1008">
      <x:c r="A1008" s="1"/>
      <x:c r="B1008" s="1"/>
      <x:c r="C1008" s="1"/>
      <x:c r="D1008" s="1"/>
      <x:c r="E1008" s="1"/>
      <x:c r="F1008" s="1"/>
    </x:row>
    <x:row r="1009">
      <x:c r="A1009" s="1"/>
      <x:c r="B1009" s="1"/>
      <x:c r="C1009" s="1"/>
      <x:c r="D1009" s="1"/>
      <x:c r="E1009" s="1"/>
      <x:c r="F1009" s="1"/>
    </x:row>
    <x:row r="1010">
      <x:c r="A1010" s="1"/>
      <x:c r="B1010" s="1"/>
      <x:c r="C1010" s="1"/>
      <x:c r="D1010" s="1"/>
      <x:c r="E1010" s="1"/>
      <x:c r="F1010" s="1"/>
    </x:row>
    <x:row r="1011">
      <x:c r="A1011" s="1"/>
      <x:c r="B1011" s="1"/>
      <x:c r="C1011" s="1"/>
      <x:c r="D1011" s="1"/>
      <x:c r="E1011" s="1"/>
      <x:c r="F1011" s="1"/>
    </x:row>
    <x:row r="1012">
      <x:c r="A1012" s="1"/>
      <x:c r="B1012" s="1"/>
      <x:c r="C1012" s="1"/>
      <x:c r="D1012" s="1"/>
      <x:c r="E1012" s="1"/>
      <x:c r="F1012" s="1"/>
    </x:row>
    <x:row r="1013">
      <x:c r="A1013" s="1"/>
      <x:c r="B1013" s="1"/>
      <x:c r="C1013" s="1"/>
      <x:c r="D1013" s="1"/>
      <x:c r="E1013" s="1"/>
      <x:c r="F1013" s="1"/>
    </x:row>
    <x:row r="1014">
      <x:c r="A1014" s="1"/>
      <x:c r="B1014" s="1"/>
      <x:c r="C1014" s="1"/>
      <x:c r="D1014" s="1"/>
      <x:c r="E1014" s="1"/>
      <x:c r="F1014" s="1"/>
    </x:row>
    <x:row r="1015">
      <x:c r="A1015" s="1"/>
      <x:c r="B1015" s="1"/>
      <x:c r="C1015" s="1"/>
      <x:c r="D1015" s="1"/>
      <x:c r="E1015" s="1"/>
      <x:c r="F1015" s="1"/>
    </x:row>
    <x:row r="1016">
      <x:c r="A1016" s="1"/>
      <x:c r="B1016" s="1"/>
      <x:c r="C1016" s="1"/>
      <x:c r="D1016" s="1"/>
      <x:c r="E1016" s="1"/>
      <x:c r="F1016" s="1"/>
    </x:row>
    <x:row r="1017">
      <x:c r="A1017" s="1"/>
      <x:c r="B1017" s="1"/>
      <x:c r="C1017" s="1"/>
      <x:c r="D1017" s="1"/>
      <x:c r="E1017" s="1"/>
      <x:c r="F1017" s="1"/>
    </x:row>
    <x:row r="1018">
      <x:c r="A1018" s="1"/>
      <x:c r="B1018" s="1"/>
      <x:c r="C1018" s="1"/>
      <x:c r="D1018" s="1"/>
      <x:c r="E1018" s="1"/>
      <x:c r="F1018" s="1"/>
    </x:row>
    <x:row r="1019">
      <x:c r="A1019" s="1"/>
      <x:c r="B1019" s="1"/>
      <x:c r="C1019" s="1"/>
      <x:c r="D1019" s="1"/>
      <x:c r="E1019" s="1"/>
      <x:c r="F1019" s="1"/>
    </x:row>
    <x:row r="1020">
      <x:c r="A1020" s="1"/>
      <x:c r="B1020" s="1"/>
      <x:c r="C1020" s="1"/>
      <x:c r="D1020" s="1"/>
      <x:c r="E1020" s="1"/>
      <x:c r="F1020" s="1"/>
    </x:row>
    <x:row r="1021">
      <x:c r="A1021" s="1"/>
      <x:c r="B1021" s="1"/>
      <x:c r="C1021" s="1"/>
      <x:c r="D1021" s="1"/>
      <x:c r="E1021" s="1"/>
      <x:c r="F1021" s="1"/>
    </x:row>
    <x:row r="1022">
      <x:c r="A1022" s="1"/>
      <x:c r="B1022" s="1"/>
      <x:c r="C1022" s="1"/>
      <x:c r="D1022" s="1"/>
      <x:c r="E1022" s="1"/>
      <x:c r="F1022" s="1"/>
    </x:row>
    <x:row r="1023">
      <x:c r="A1023" s="1"/>
      <x:c r="B1023" s="1"/>
      <x:c r="C1023" s="1"/>
      <x:c r="D1023" s="1"/>
      <x:c r="E1023" s="1"/>
      <x:c r="F1023" s="1"/>
    </x:row>
    <x:row r="1024">
      <x:c r="A1024" s="1"/>
      <x:c r="B1024" s="1"/>
      <x:c r="C1024" s="1"/>
      <x:c r="D1024" s="1"/>
      <x:c r="E1024" s="1"/>
      <x:c r="F1024" s="1"/>
    </x:row>
    <x:row r="1025">
      <x:c r="A1025" s="1"/>
      <x:c r="B1025" s="1"/>
      <x:c r="C1025" s="1"/>
      <x:c r="D1025" s="1"/>
      <x:c r="E1025" s="1"/>
      <x:c r="F1025" s="1"/>
    </x:row>
    <x:row r="1026">
      <x:c r="A1026" s="1"/>
      <x:c r="B1026" s="1"/>
      <x:c r="C1026" s="1"/>
      <x:c r="D1026" s="1"/>
      <x:c r="E1026" s="1"/>
      <x:c r="F1026" s="1"/>
    </x:row>
    <x:row r="1027">
      <x:c r="A1027" s="1"/>
      <x:c r="B1027" s="1"/>
      <x:c r="C1027" s="1"/>
      <x:c r="D1027" s="1"/>
      <x:c r="E1027" s="1"/>
      <x:c r="F1027" s="1"/>
    </x:row>
    <x:row r="1028">
      <x:c r="A1028" s="1"/>
      <x:c r="B1028" s="1"/>
      <x:c r="C1028" s="1"/>
      <x:c r="D1028" s="1"/>
      <x:c r="E1028" s="1"/>
      <x:c r="F1028" s="1"/>
    </x:row>
    <x:row r="1029">
      <x:c r="A1029" s="1"/>
      <x:c r="B1029" s="1"/>
      <x:c r="C1029" s="1"/>
      <x:c r="D1029" s="1"/>
      <x:c r="E1029" s="1"/>
      <x:c r="F1029" s="1"/>
    </x:row>
    <x:row r="1030">
      <x:c r="A1030" s="1"/>
      <x:c r="B1030" s="1"/>
      <x:c r="C1030" s="1"/>
      <x:c r="D1030" s="1"/>
      <x:c r="E1030" s="1"/>
      <x:c r="F1030" s="1"/>
    </x:row>
    <x:row r="1031">
      <x:c r="A1031" s="1"/>
      <x:c r="B1031" s="1"/>
      <x:c r="C1031" s="1"/>
      <x:c r="D1031" s="1"/>
      <x:c r="E1031" s="1"/>
      <x:c r="F1031" s="1"/>
    </x:row>
    <x:row r="1032">
      <x:c r="A1032" s="1"/>
      <x:c r="B1032" s="1"/>
      <x:c r="C1032" s="1"/>
      <x:c r="D1032" s="1"/>
      <x:c r="E1032" s="1"/>
      <x:c r="F1032" s="1"/>
    </x:row>
    <x:row r="1033">
      <x:c r="A1033" s="1"/>
      <x:c r="B1033" s="1"/>
      <x:c r="C1033" s="1"/>
      <x:c r="D1033" s="1"/>
      <x:c r="E1033" s="1"/>
      <x:c r="F1033" s="1"/>
    </x:row>
    <x:row r="1034">
      <x:c r="A1034" s="1"/>
      <x:c r="B1034" s="1"/>
      <x:c r="C1034" s="1"/>
      <x:c r="D1034" s="1"/>
      <x:c r="E1034" s="1"/>
      <x:c r="F1034" s="1"/>
    </x:row>
    <x:row r="1035">
      <x:c r="A1035" s="1"/>
      <x:c r="B1035" s="1"/>
      <x:c r="C1035" s="1"/>
      <x:c r="D1035" s="1"/>
      <x:c r="E1035" s="1"/>
      <x:c r="F1035" s="1"/>
    </x:row>
    <x:row r="1036">
      <x:c r="A1036" s="1"/>
      <x:c r="B1036" s="1"/>
      <x:c r="C1036" s="1"/>
      <x:c r="D1036" s="1"/>
      <x:c r="E1036" s="1"/>
      <x:c r="F1036" s="1"/>
    </x:row>
    <x:row r="1037">
      <x:c r="A1037" s="1"/>
      <x:c r="B1037" s="1"/>
      <x:c r="C1037" s="1"/>
      <x:c r="D1037" s="1"/>
      <x:c r="E1037" s="1"/>
      <x:c r="F1037" s="1"/>
    </x:row>
    <x:row r="1038">
      <x:c r="A1038" s="1"/>
      <x:c r="B1038" s="1"/>
      <x:c r="C1038" s="1"/>
      <x:c r="D1038" s="1"/>
      <x:c r="E1038" s="1"/>
      <x:c r="F1038" s="1"/>
    </x:row>
    <x:row r="1039">
      <x:c r="A1039" s="1"/>
      <x:c r="B1039" s="1"/>
      <x:c r="C1039" s="1"/>
      <x:c r="D1039" s="1"/>
      <x:c r="E1039" s="1"/>
      <x:c r="F1039" s="1"/>
    </x:row>
    <x:row r="1040">
      <x:c r="A1040" s="1"/>
      <x:c r="B1040" s="1"/>
      <x:c r="C1040" s="1"/>
      <x:c r="D1040" s="1"/>
      <x:c r="E1040" s="1"/>
      <x:c r="F1040" s="1"/>
    </x:row>
    <x:row r="1041">
      <x:c r="A1041" s="1"/>
      <x:c r="B1041" s="1"/>
      <x:c r="C1041" s="1"/>
      <x:c r="D1041" s="1"/>
      <x:c r="E1041" s="1"/>
      <x:c r="F1041" s="1"/>
    </x:row>
    <x:row r="1042">
      <x:c r="A1042" s="1"/>
      <x:c r="B1042" s="1"/>
      <x:c r="C1042" s="1"/>
      <x:c r="D1042" s="1"/>
      <x:c r="E1042" s="1"/>
      <x:c r="F1042" s="1"/>
    </x:row>
    <x:row r="1043">
      <x:c r="A1043" s="1"/>
      <x:c r="B1043" s="1"/>
      <x:c r="C1043" s="1"/>
      <x:c r="D1043" s="1"/>
      <x:c r="E1043" s="1"/>
      <x:c r="F1043" s="1"/>
    </x:row>
    <x:row r="1044">
      <x:c r="A1044" s="1"/>
      <x:c r="B1044" s="1"/>
      <x:c r="C1044" s="1"/>
      <x:c r="D1044" s="1"/>
      <x:c r="E1044" s="1"/>
      <x:c r="F1044" s="1"/>
    </x:row>
    <x:row r="1045">
      <x:c r="A1045" s="1"/>
      <x:c r="B1045" s="1"/>
      <x:c r="C1045" s="1"/>
      <x:c r="D1045" s="1"/>
      <x:c r="E1045" s="1"/>
      <x:c r="F1045" s="1"/>
    </x:row>
    <x:row r="1046">
      <x:c r="A1046" s="1"/>
      <x:c r="B1046" s="1"/>
      <x:c r="C1046" s="1"/>
      <x:c r="D1046" s="1"/>
      <x:c r="E1046" s="1"/>
      <x:c r="F1046" s="1"/>
    </x:row>
    <x:row r="1047">
      <x:c r="A1047" s="1"/>
      <x:c r="B1047" s="1"/>
      <x:c r="C1047" s="1"/>
      <x:c r="D1047" s="1"/>
      <x:c r="E1047" s="1"/>
      <x:c r="F1047" s="1"/>
    </x:row>
    <x:row r="1048">
      <x:c r="A1048" s="1"/>
      <x:c r="B1048" s="1"/>
      <x:c r="C1048" s="1"/>
      <x:c r="D1048" s="1"/>
      <x:c r="E1048" s="1"/>
      <x:c r="F1048" s="1"/>
    </x:row>
    <x:row r="1049">
      <x:c r="A1049" s="1"/>
      <x:c r="B1049" s="1"/>
      <x:c r="C1049" s="1"/>
      <x:c r="D1049" s="1"/>
      <x:c r="E1049" s="1"/>
      <x:c r="F1049" s="1"/>
    </x:row>
    <x:row r="1050">
      <x:c r="A1050" s="1"/>
      <x:c r="B1050" s="1"/>
      <x:c r="C1050" s="1"/>
      <x:c r="D1050" s="1"/>
      <x:c r="E1050" s="1"/>
      <x:c r="F1050" s="1"/>
    </x:row>
    <x:row r="1051">
      <x:c r="A1051" s="1"/>
      <x:c r="B1051" s="1"/>
      <x:c r="C1051" s="1"/>
      <x:c r="D1051" s="1"/>
      <x:c r="E1051" s="1"/>
      <x:c r="F1051" s="1"/>
    </x:row>
    <x:row r="1052">
      <x:c r="A1052" s="1"/>
      <x:c r="B1052" s="1"/>
      <x:c r="C1052" s="1"/>
      <x:c r="D1052" s="1"/>
      <x:c r="E1052" s="1"/>
      <x:c r="F1052" s="1"/>
    </x:row>
    <x:row r="1053">
      <x:c r="A1053" s="1"/>
      <x:c r="B1053" s="1"/>
      <x:c r="C1053" s="1"/>
      <x:c r="D1053" s="1"/>
      <x:c r="E1053" s="1"/>
      <x:c r="F1053" s="1"/>
    </x:row>
    <x:row r="1054">
      <x:c r="A1054" s="1"/>
      <x:c r="B1054" s="1"/>
      <x:c r="C1054" s="1"/>
      <x:c r="D1054" s="1"/>
      <x:c r="E1054" s="1"/>
      <x:c r="F1054" s="1"/>
    </x:row>
    <x:row r="1055">
      <x:c r="A1055" s="1"/>
      <x:c r="B1055" s="1"/>
      <x:c r="C1055" s="1"/>
      <x:c r="D1055" s="1"/>
      <x:c r="E1055" s="1"/>
      <x:c r="F1055" s="1"/>
    </x:row>
    <x:row r="1056">
      <x:c r="A1056" s="1"/>
      <x:c r="B1056" s="1"/>
      <x:c r="C1056" s="1"/>
      <x:c r="D1056" s="1"/>
      <x:c r="E1056" s="1"/>
      <x:c r="F1056" s="1"/>
    </x:row>
    <x:row r="1057">
      <x:c r="A1057" s="1"/>
      <x:c r="B1057" s="1"/>
      <x:c r="C1057" s="1"/>
      <x:c r="D1057" s="1"/>
      <x:c r="E1057" s="1"/>
      <x:c r="F1057" s="1"/>
    </x:row>
    <x:row r="1058">
      <x:c r="A1058" s="1"/>
      <x:c r="B1058" s="1"/>
      <x:c r="C1058" s="1"/>
      <x:c r="D1058" s="1"/>
      <x:c r="E1058" s="1"/>
      <x:c r="F1058" s="1"/>
    </x:row>
    <x:row r="1059">
      <x:c r="A1059" s="1"/>
      <x:c r="B1059" s="1"/>
      <x:c r="C1059" s="1"/>
      <x:c r="D1059" s="1"/>
      <x:c r="E1059" s="1"/>
      <x:c r="F1059" s="1"/>
    </x:row>
    <x:row r="1060">
      <x:c r="A1060" s="1"/>
      <x:c r="B1060" s="1"/>
      <x:c r="C1060" s="1"/>
      <x:c r="D1060" s="1"/>
      <x:c r="E1060" s="1"/>
      <x:c r="F1060" s="1"/>
    </x:row>
    <x:row r="1061">
      <x:c r="A1061" s="1"/>
      <x:c r="B1061" s="1"/>
      <x:c r="C1061" s="1"/>
      <x:c r="D1061" s="1"/>
      <x:c r="E1061" s="1"/>
      <x:c r="F1061" s="1"/>
    </x:row>
    <x:row r="1062">
      <x:c r="A1062" s="1"/>
      <x:c r="B1062" s="1"/>
      <x:c r="C1062" s="1"/>
      <x:c r="D1062" s="1"/>
      <x:c r="E1062" s="1"/>
      <x:c r="F1062" s="1"/>
    </x:row>
    <x:row r="1063">
      <x:c r="A1063" s="1"/>
      <x:c r="B1063" s="1"/>
      <x:c r="C1063" s="1"/>
      <x:c r="D1063" s="1"/>
      <x:c r="E1063" s="1"/>
      <x:c r="F1063" s="1"/>
    </x:row>
    <x:row r="1064">
      <x:c r="A1064" s="1"/>
      <x:c r="B1064" s="1"/>
      <x:c r="C1064" s="1"/>
      <x:c r="D1064" s="1"/>
      <x:c r="E1064" s="1"/>
      <x:c r="F1064" s="1"/>
    </x:row>
    <x:row r="1065">
      <x:c r="A1065" s="1"/>
      <x:c r="B1065" s="1"/>
      <x:c r="C1065" s="1"/>
      <x:c r="D1065" s="1"/>
      <x:c r="E1065" s="1"/>
      <x:c r="F1065" s="1"/>
    </x:row>
    <x:row r="1066">
      <x:c r="A1066" s="1"/>
      <x:c r="B1066" s="1"/>
      <x:c r="C1066" s="1"/>
      <x:c r="D1066" s="1"/>
      <x:c r="E1066" s="1"/>
      <x:c r="F1066" s="1"/>
    </x:row>
    <x:row r="1067">
      <x:c r="A1067" s="1"/>
      <x:c r="B1067" s="1"/>
      <x:c r="C1067" s="1"/>
      <x:c r="D1067" s="1"/>
      <x:c r="E1067" s="1"/>
      <x:c r="F1067" s="1"/>
    </x:row>
    <x:row r="1068">
      <x:c r="A1068" s="1"/>
      <x:c r="B1068" s="1"/>
      <x:c r="C1068" s="1"/>
      <x:c r="D1068" s="1"/>
      <x:c r="E1068" s="1"/>
      <x:c r="F1068" s="1"/>
    </x:row>
    <x:row r="1069">
      <x:c r="A1069" s="1"/>
      <x:c r="B1069" s="1"/>
      <x:c r="C1069" s="1"/>
      <x:c r="D1069" s="1"/>
      <x:c r="E1069" s="1"/>
      <x:c r="F1069" s="1"/>
    </x:row>
    <x:row r="1070">
      <x:c r="A1070" s="1"/>
      <x:c r="B1070" s="1"/>
      <x:c r="C1070" s="1"/>
      <x:c r="D1070" s="1"/>
      <x:c r="E1070" s="1"/>
      <x:c r="F1070" s="1"/>
    </x:row>
    <x:row r="1071">
      <x:c r="A1071" s="1"/>
      <x:c r="B1071" s="1"/>
      <x:c r="C1071" s="1"/>
      <x:c r="D1071" s="1"/>
      <x:c r="E1071" s="1"/>
      <x:c r="F1071" s="1"/>
    </x:row>
    <x:row r="1072">
      <x:c r="A1072" s="1"/>
      <x:c r="B1072" s="1"/>
      <x:c r="C1072" s="1"/>
      <x:c r="D1072" s="1"/>
      <x:c r="E1072" s="1"/>
      <x:c r="F1072" s="1"/>
    </x:row>
    <x:row r="1073">
      <x:c r="A1073" s="1"/>
      <x:c r="B1073" s="1"/>
      <x:c r="C1073" s="1"/>
      <x:c r="D1073" s="1"/>
      <x:c r="E1073" s="1"/>
      <x:c r="F1073" s="1"/>
    </x:row>
    <x:row r="1074">
      <x:c r="A1074" s="1"/>
      <x:c r="B1074" s="1"/>
      <x:c r="C1074" s="1"/>
      <x:c r="D1074" s="1"/>
      <x:c r="E1074" s="1"/>
      <x:c r="F1074" s="1"/>
    </x:row>
    <x:row r="1075">
      <x:c r="A1075" s="1"/>
      <x:c r="B1075" s="1"/>
      <x:c r="C1075" s="1"/>
      <x:c r="D1075" s="1"/>
      <x:c r="E1075" s="1"/>
      <x:c r="F1075" s="1"/>
    </x:row>
    <x:row r="1076">
      <x:c r="A1076" s="1"/>
      <x:c r="B1076" s="1"/>
      <x:c r="C1076" s="1"/>
      <x:c r="D1076" s="1"/>
      <x:c r="E1076" s="1"/>
      <x:c r="F1076" s="1"/>
    </x:row>
    <x:row r="1077">
      <x:c r="A1077" s="1"/>
      <x:c r="B1077" s="1"/>
      <x:c r="C1077" s="1"/>
      <x:c r="D1077" s="1"/>
      <x:c r="E1077" s="1"/>
      <x:c r="F1077" s="1"/>
    </x:row>
    <x:row r="1078">
      <x:c r="A1078" s="1"/>
      <x:c r="B1078" s="1"/>
      <x:c r="C1078" s="1"/>
      <x:c r="D1078" s="1"/>
      <x:c r="E1078" s="1"/>
      <x:c r="F1078" s="1"/>
    </x:row>
    <x:row r="1079">
      <x:c r="A1079" s="1"/>
      <x:c r="B1079" s="1"/>
      <x:c r="C1079" s="1"/>
      <x:c r="D1079" s="1"/>
      <x:c r="E1079" s="1"/>
      <x:c r="F1079" s="1"/>
    </x:row>
    <x:row r="1080">
      <x:c r="A1080" s="1"/>
      <x:c r="B1080" s="1"/>
      <x:c r="C1080" s="1"/>
      <x:c r="D1080" s="1"/>
      <x:c r="E1080" s="1"/>
      <x:c r="F1080" s="1"/>
    </x:row>
    <x:row r="1081">
      <x:c r="A1081" s="1"/>
      <x:c r="B1081" s="1"/>
      <x:c r="C1081" s="1"/>
      <x:c r="D1081" s="1"/>
      <x:c r="E1081" s="1"/>
      <x:c r="F1081" s="1"/>
    </x:row>
    <x:row r="1082">
      <x:c r="A1082" s="1"/>
      <x:c r="B1082" s="1"/>
      <x:c r="C1082" s="1"/>
      <x:c r="D1082" s="1"/>
      <x:c r="E1082" s="1"/>
      <x:c r="F1082" s="1"/>
    </x:row>
    <x:row r="1083">
      <x:c r="A1083" s="1"/>
      <x:c r="B1083" s="1"/>
      <x:c r="C1083" s="1"/>
      <x:c r="D1083" s="1"/>
      <x:c r="E1083" s="1"/>
      <x:c r="F1083" s="1"/>
    </x:row>
    <x:row r="1084">
      <x:c r="A1084" s="1"/>
      <x:c r="B1084" s="1"/>
      <x:c r="C1084" s="1"/>
      <x:c r="D1084" s="1"/>
      <x:c r="E1084" s="1"/>
      <x:c r="F1084" s="1"/>
    </x:row>
    <x:row r="1085">
      <x:c r="A1085" s="1"/>
      <x:c r="B1085" s="1"/>
      <x:c r="C1085" s="1"/>
      <x:c r="D1085" s="1"/>
      <x:c r="E1085" s="1"/>
      <x:c r="F1085" s="1"/>
    </x:row>
    <x:row r="1086">
      <x:c r="A1086" s="1"/>
      <x:c r="B1086" s="1"/>
      <x:c r="C1086" s="1"/>
      <x:c r="D1086" s="1"/>
      <x:c r="E1086" s="1"/>
      <x:c r="F1086" s="1"/>
    </x:row>
    <x:row r="1087">
      <x:c r="A1087" s="1"/>
      <x:c r="B1087" s="1"/>
      <x:c r="C1087" s="1"/>
      <x:c r="D1087" s="1"/>
      <x:c r="E1087" s="1"/>
      <x:c r="F1087" s="1"/>
    </x:row>
    <x:row r="1088">
      <x:c r="A1088" s="1"/>
      <x:c r="B1088" s="1"/>
      <x:c r="C1088" s="1"/>
      <x:c r="D1088" s="1"/>
      <x:c r="E1088" s="1"/>
      <x:c r="F1088" s="1"/>
    </x:row>
    <x:row r="1089">
      <x:c r="A1089" s="1"/>
      <x:c r="B1089" s="1"/>
      <x:c r="C1089" s="1"/>
      <x:c r="D1089" s="1"/>
      <x:c r="E1089" s="1"/>
      <x:c r="F1089" s="1"/>
    </x:row>
    <x:row r="1090">
      <x:c r="A1090" s="1"/>
      <x:c r="B1090" s="1"/>
      <x:c r="C1090" s="1"/>
      <x:c r="D1090" s="1"/>
      <x:c r="E1090" s="1"/>
      <x:c r="F1090" s="1"/>
    </x:row>
    <x:row r="1091">
      <x:c r="A1091" s="1"/>
      <x:c r="B1091" s="1"/>
      <x:c r="C1091" s="1"/>
      <x:c r="D1091" s="1"/>
      <x:c r="E1091" s="1"/>
      <x:c r="F1091" s="1"/>
    </x:row>
    <x:row r="1092">
      <x:c r="A1092" s="1"/>
      <x:c r="B1092" s="1"/>
      <x:c r="C1092" s="1"/>
      <x:c r="D1092" s="1"/>
      <x:c r="E1092" s="1"/>
      <x:c r="F1092" s="1"/>
    </x:row>
    <x:row r="1093">
      <x:c r="A1093" s="1"/>
      <x:c r="B1093" s="1"/>
      <x:c r="C1093" s="1"/>
      <x:c r="D1093" s="1"/>
      <x:c r="E1093" s="1"/>
      <x:c r="F1093" s="1"/>
    </x:row>
    <x:row r="1094">
      <x:c r="A1094" s="1"/>
      <x:c r="B1094" s="1"/>
      <x:c r="C1094" s="1"/>
      <x:c r="D1094" s="1"/>
      <x:c r="E1094" s="1"/>
      <x:c r="F1094" s="1"/>
    </x:row>
    <x:row r="1095">
      <x:c r="A1095" s="1"/>
      <x:c r="B1095" s="1"/>
      <x:c r="C1095" s="1"/>
      <x:c r="D1095" s="1"/>
      <x:c r="E1095" s="1"/>
      <x:c r="F1095" s="1"/>
    </x:row>
    <x:row r="1096">
      <x:c r="A1096" s="1"/>
      <x:c r="B1096" s="1"/>
      <x:c r="C1096" s="1"/>
      <x:c r="D1096" s="1"/>
      <x:c r="E1096" s="1"/>
      <x:c r="F1096" s="1"/>
    </x:row>
    <x:row r="1097">
      <x:c r="A1097" s="1"/>
      <x:c r="B1097" s="1"/>
      <x:c r="C1097" s="1"/>
      <x:c r="D1097" s="1"/>
      <x:c r="E1097" s="1"/>
      <x:c r="F1097" s="1"/>
    </x:row>
    <x:row r="1098">
      <x:c r="A1098" s="1"/>
      <x:c r="B1098" s="1"/>
      <x:c r="C1098" s="1"/>
      <x:c r="D1098" s="1"/>
      <x:c r="E1098" s="1"/>
      <x:c r="F1098" s="1"/>
    </x:row>
    <x:row r="1099">
      <x:c r="A1099" s="1"/>
      <x:c r="B1099" s="1"/>
      <x:c r="C1099" s="1"/>
      <x:c r="D1099" s="1"/>
      <x:c r="E1099" s="1"/>
      <x:c r="F1099" s="1"/>
    </x:row>
    <x:row r="1100">
      <x:c r="A1100" s="1"/>
      <x:c r="B1100" s="1"/>
      <x:c r="C1100" s="1"/>
      <x:c r="D1100" s="1"/>
      <x:c r="E1100" s="1"/>
      <x:c r="F1100" s="1"/>
    </x:row>
    <x:row r="1101">
      <x:c r="A1101" s="1"/>
      <x:c r="B1101" s="1"/>
      <x:c r="C1101" s="1"/>
      <x:c r="D1101" s="1"/>
      <x:c r="E1101" s="1"/>
      <x:c r="F1101" s="1"/>
    </x:row>
    <x:row r="1102">
      <x:c r="A1102" s="1"/>
      <x:c r="B1102" s="1"/>
      <x:c r="C1102" s="1"/>
      <x:c r="D1102" s="1"/>
      <x:c r="E1102" s="1"/>
      <x:c r="F1102" s="1"/>
    </x:row>
    <x:row r="1103">
      <x:c r="A1103" s="1"/>
      <x:c r="B1103" s="1"/>
      <x:c r="C1103" s="1"/>
      <x:c r="D1103" s="1"/>
      <x:c r="E1103" s="1"/>
      <x:c r="F1103" s="1"/>
    </x:row>
    <x:row r="1104">
      <x:c r="A1104" s="1"/>
      <x:c r="B1104" s="1"/>
      <x:c r="C1104" s="1"/>
      <x:c r="D1104" s="1"/>
      <x:c r="E1104" s="1"/>
      <x:c r="F1104" s="1"/>
    </x:row>
    <x:row r="1105">
      <x:c r="A1105" s="1"/>
      <x:c r="B1105" s="1"/>
      <x:c r="C1105" s="1"/>
      <x:c r="D1105" s="1"/>
      <x:c r="E1105" s="1"/>
      <x:c r="F1105" s="1"/>
    </x:row>
    <x:row r="1106">
      <x:c r="A1106" s="1"/>
      <x:c r="B1106" s="1"/>
      <x:c r="C1106" s="1"/>
      <x:c r="D1106" s="1"/>
      <x:c r="E1106" s="1"/>
      <x:c r="F1106" s="1"/>
    </x:row>
    <x:row r="1107">
      <x:c r="A1107" s="1"/>
      <x:c r="B1107" s="1"/>
      <x:c r="C1107" s="1"/>
      <x:c r="D1107" s="1"/>
      <x:c r="E1107" s="1"/>
      <x:c r="F1107" s="1"/>
    </x:row>
    <x:row r="1108">
      <x:c r="A1108" s="1"/>
      <x:c r="B1108" s="1"/>
      <x:c r="C1108" s="1"/>
      <x:c r="D1108" s="1"/>
      <x:c r="E1108" s="1"/>
      <x:c r="F1108" s="1"/>
    </x:row>
    <x:row r="1109">
      <x:c r="A1109" s="1"/>
      <x:c r="B1109" s="1"/>
      <x:c r="C1109" s="1"/>
      <x:c r="D1109" s="1"/>
      <x:c r="E1109" s="1"/>
      <x:c r="F1109" s="1"/>
    </x:row>
    <x:row r="1110">
      <x:c r="A1110" s="1"/>
      <x:c r="B1110" s="1"/>
      <x:c r="C1110" s="1"/>
      <x:c r="D1110" s="1"/>
      <x:c r="E1110" s="1"/>
      <x:c r="F1110" s="1"/>
    </x:row>
    <x:row r="1111">
      <x:c r="A1111" s="1"/>
      <x:c r="B1111" s="1"/>
      <x:c r="C1111" s="1"/>
      <x:c r="D1111" s="1"/>
      <x:c r="E1111" s="1"/>
      <x:c r="F1111" s="1"/>
    </x:row>
    <x:row r="1112">
      <x:c r="A1112" s="1"/>
      <x:c r="B1112" s="1"/>
      <x:c r="C1112" s="1"/>
      <x:c r="D1112" s="1"/>
      <x:c r="E1112" s="1"/>
      <x:c r="F1112" s="1"/>
    </x:row>
    <x:row r="1113">
      <x:c r="A1113" s="1"/>
      <x:c r="B1113" s="1"/>
      <x:c r="C1113" s="1"/>
      <x:c r="D1113" s="1"/>
      <x:c r="E1113" s="1"/>
      <x:c r="F1113" s="1"/>
    </x:row>
    <x:row r="1114">
      <x:c r="A1114" s="1"/>
      <x:c r="B1114" s="1"/>
      <x:c r="C1114" s="1"/>
      <x:c r="D1114" s="1"/>
      <x:c r="E1114" s="1"/>
      <x:c r="F1114" s="1"/>
    </x:row>
    <x:row r="1115">
      <x:c r="A1115" s="1"/>
      <x:c r="B1115" s="1"/>
      <x:c r="C1115" s="1"/>
      <x:c r="D1115" s="1"/>
      <x:c r="E1115" s="1"/>
      <x:c r="F1115" s="1"/>
    </x:row>
    <x:row r="1116">
      <x:c r="A1116" s="1"/>
      <x:c r="B1116" s="1"/>
      <x:c r="C1116" s="1"/>
      <x:c r="D1116" s="1"/>
      <x:c r="E1116" s="1"/>
      <x:c r="F1116" s="1"/>
    </x:row>
    <x:row r="1117">
      <x:c r="A1117" s="1"/>
      <x:c r="B1117" s="1"/>
      <x:c r="C1117" s="1"/>
      <x:c r="D1117" s="1"/>
      <x:c r="E1117" s="1"/>
      <x:c r="F1117" s="1"/>
    </x:row>
    <x:row r="1118">
      <x:c r="A1118" s="1"/>
      <x:c r="B1118" s="1"/>
      <x:c r="C1118" s="1"/>
      <x:c r="D1118" s="1"/>
      <x:c r="E1118" s="1"/>
      <x:c r="F1118" s="1"/>
    </x:row>
    <x:row r="1119">
      <x:c r="A1119" s="1"/>
      <x:c r="B1119" s="1"/>
      <x:c r="C1119" s="1"/>
      <x:c r="D1119" s="1"/>
      <x:c r="E1119" s="1"/>
      <x:c r="F1119" s="1"/>
    </x:row>
    <x:row r="1120">
      <x:c r="A1120" s="1"/>
      <x:c r="B1120" s="1"/>
      <x:c r="C1120" s="1"/>
      <x:c r="D1120" s="1"/>
      <x:c r="E1120" s="1"/>
      <x:c r="F1120" s="1"/>
    </x:row>
    <x:row r="1121">
      <x:c r="A1121" s="1"/>
      <x:c r="B1121" s="1"/>
      <x:c r="C1121" s="1"/>
      <x:c r="D1121" s="1"/>
      <x:c r="E1121" s="1"/>
      <x:c r="F1121" s="1"/>
    </x:row>
    <x:row r="1122">
      <x:c r="A1122" s="1"/>
      <x:c r="B1122" s="1"/>
      <x:c r="C1122" s="1"/>
      <x:c r="D1122" s="1"/>
      <x:c r="E1122" s="1"/>
      <x:c r="F1122" s="1"/>
    </x:row>
    <x:row r="1123">
      <x:c r="A1123" s="1"/>
      <x:c r="B1123" s="1"/>
      <x:c r="C1123" s="1"/>
      <x:c r="D1123" s="1"/>
      <x:c r="E1123" s="1"/>
      <x:c r="F1123" s="1"/>
    </x:row>
    <x:row r="1124">
      <x:c r="A1124" s="1"/>
      <x:c r="B1124" s="1"/>
      <x:c r="C1124" s="1"/>
      <x:c r="D1124" s="1"/>
      <x:c r="E1124" s="1"/>
      <x:c r="F1124" s="1"/>
    </x:row>
    <x:row r="1125">
      <x:c r="A1125" s="1"/>
      <x:c r="B1125" s="1"/>
      <x:c r="C1125" s="1"/>
      <x:c r="D1125" s="1"/>
      <x:c r="E1125" s="1"/>
      <x:c r="F1125" s="1"/>
    </x:row>
    <x:row r="1126">
      <x:c r="A1126" s="1"/>
      <x:c r="B1126" s="1"/>
      <x:c r="C1126" s="1"/>
      <x:c r="D1126" s="1"/>
      <x:c r="E1126" s="1"/>
      <x:c r="F1126" s="1"/>
    </x:row>
    <x:row r="1127">
      <x:c r="A1127" s="1"/>
      <x:c r="B1127" s="1"/>
      <x:c r="C1127" s="1"/>
      <x:c r="D1127" s="1"/>
      <x:c r="E1127" s="1"/>
      <x:c r="F1127" s="1"/>
    </x:row>
    <x:row r="1128">
      <x:c r="A1128" s="1"/>
      <x:c r="B1128" s="1"/>
      <x:c r="C1128" s="1"/>
      <x:c r="D1128" s="1"/>
      <x:c r="E1128" s="1"/>
      <x:c r="F1128" s="1"/>
    </x:row>
    <x:row r="1129">
      <x:c r="A1129" s="1"/>
      <x:c r="B1129" s="1"/>
      <x:c r="C1129" s="1"/>
      <x:c r="D1129" s="1"/>
      <x:c r="E1129" s="1"/>
      <x:c r="F1129" s="1"/>
    </x:row>
    <x:row r="1130">
      <x:c r="A1130" s="1"/>
      <x:c r="B1130" s="1"/>
      <x:c r="C1130" s="1"/>
      <x:c r="D1130" s="1"/>
      <x:c r="E1130" s="1"/>
      <x:c r="F1130" s="1"/>
    </x:row>
    <x:row r="1131">
      <x:c r="A1131" s="1"/>
      <x:c r="B1131" s="1"/>
      <x:c r="C1131" s="1"/>
      <x:c r="D1131" s="1"/>
      <x:c r="E1131" s="1"/>
      <x:c r="F1131" s="1"/>
    </x:row>
    <x:row r="1132">
      <x:c r="A1132" s="1"/>
      <x:c r="B1132" s="1"/>
      <x:c r="C1132" s="1"/>
      <x:c r="D1132" s="1"/>
      <x:c r="E1132" s="1"/>
      <x:c r="F1132" s="1"/>
    </x:row>
    <x:row r="1133">
      <x:c r="A1133" s="1"/>
      <x:c r="B1133" s="1"/>
      <x:c r="C1133" s="1"/>
      <x:c r="D1133" s="1"/>
      <x:c r="E1133" s="1"/>
      <x:c r="F1133" s="1"/>
    </x:row>
    <x:row r="1134">
      <x:c r="A1134" s="1"/>
      <x:c r="B1134" s="1"/>
      <x:c r="C1134" s="1"/>
      <x:c r="D1134" s="1"/>
      <x:c r="E1134" s="1"/>
      <x:c r="F1134" s="1"/>
    </x:row>
    <x:row r="1135">
      <x:c r="A1135" s="1"/>
      <x:c r="B1135" s="1"/>
      <x:c r="C1135" s="1"/>
      <x:c r="D1135" s="1"/>
      <x:c r="E1135" s="1"/>
      <x:c r="F1135" s="1"/>
    </x:row>
    <x:row r="1136">
      <x:c r="A1136" s="1"/>
      <x:c r="B1136" s="1"/>
      <x:c r="C1136" s="1"/>
      <x:c r="D1136" s="1"/>
      <x:c r="E1136" s="1"/>
      <x:c r="F1136" s="1"/>
    </x:row>
    <x:row r="1137">
      <x:c r="A1137" s="1"/>
      <x:c r="B1137" s="1"/>
      <x:c r="C1137" s="1"/>
      <x:c r="D1137" s="1"/>
      <x:c r="E1137" s="1"/>
      <x:c r="F1137" s="1"/>
    </x:row>
    <x:row r="1138">
      <x:c r="A1138" s="1"/>
      <x:c r="B1138" s="1"/>
      <x:c r="C1138" s="1"/>
      <x:c r="D1138" s="1"/>
      <x:c r="E1138" s="1"/>
      <x:c r="F1138" s="1"/>
    </x:row>
    <x:row r="1139">
      <x:c r="A1139" s="1"/>
      <x:c r="B1139" s="1"/>
      <x:c r="C1139" s="1"/>
      <x:c r="D1139" s="1"/>
      <x:c r="E1139" s="1"/>
      <x:c r="F1139" s="1"/>
    </x:row>
    <x:row r="1140">
      <x:c r="A1140" s="1"/>
      <x:c r="B1140" s="1"/>
      <x:c r="C1140" s="1"/>
      <x:c r="D1140" s="1"/>
      <x:c r="E1140" s="1"/>
      <x:c r="F1140" s="1"/>
    </x:row>
    <x:row r="1141">
      <x:c r="A1141" s="1"/>
      <x:c r="B1141" s="1"/>
      <x:c r="C1141" s="1"/>
      <x:c r="D1141" s="1"/>
      <x:c r="E1141" s="1"/>
      <x:c r="F1141" s="1"/>
    </x:row>
    <x:row r="1142">
      <x:c r="A1142" s="1"/>
      <x:c r="B1142" s="1"/>
      <x:c r="C1142" s="1"/>
      <x:c r="D1142" s="1"/>
      <x:c r="E1142" s="1"/>
      <x:c r="F1142" s="1"/>
    </x:row>
    <x:row r="1143">
      <x:c r="A1143" s="1"/>
      <x:c r="B1143" s="1"/>
      <x:c r="C1143" s="1"/>
      <x:c r="D1143" s="1"/>
      <x:c r="E1143" s="1"/>
      <x:c r="F1143" s="1"/>
    </x:row>
    <x:row r="1144">
      <x:c r="A1144" s="1"/>
      <x:c r="B1144" s="1"/>
      <x:c r="C1144" s="1"/>
      <x:c r="D1144" s="1"/>
      <x:c r="E1144" s="1"/>
      <x:c r="F1144" s="1"/>
    </x:row>
    <x:row r="1145">
      <x:c r="A1145" s="1"/>
      <x:c r="B1145" s="1"/>
      <x:c r="C1145" s="1"/>
      <x:c r="D1145" s="1"/>
      <x:c r="E1145" s="1"/>
      <x:c r="F1145" s="1"/>
    </x:row>
    <x:row r="1146">
      <x:c r="A1146" s="1"/>
      <x:c r="B1146" s="1"/>
      <x:c r="C1146" s="1"/>
      <x:c r="D1146" s="1"/>
      <x:c r="E1146" s="1"/>
      <x:c r="F1146" s="1"/>
    </x:row>
    <x:row r="1147">
      <x:c r="A1147" s="1"/>
      <x:c r="B1147" s="1"/>
      <x:c r="C1147" s="1"/>
      <x:c r="D1147" s="1"/>
      <x:c r="E1147" s="1"/>
      <x:c r="F1147" s="1"/>
    </x:row>
    <x:row r="1148">
      <x:c r="A1148" s="1"/>
      <x:c r="B1148" s="1"/>
      <x:c r="C1148" s="1"/>
      <x:c r="D1148" s="1"/>
      <x:c r="E1148" s="1"/>
      <x:c r="F1148" s="1"/>
    </x:row>
    <x:row r="1149">
      <x:c r="A1149" s="1"/>
      <x:c r="B1149" s="1"/>
      <x:c r="C1149" s="1"/>
      <x:c r="D1149" s="1"/>
      <x:c r="E1149" s="1"/>
      <x:c r="F1149" s="1"/>
    </x:row>
    <x:row r="1150">
      <x:c r="A1150" s="1"/>
      <x:c r="B1150" s="1"/>
      <x:c r="C1150" s="1"/>
      <x:c r="D1150" s="1"/>
      <x:c r="E1150" s="1"/>
      <x:c r="F1150" s="1"/>
    </x:row>
    <x:row r="1151">
      <x:c r="A1151" s="1"/>
      <x:c r="B1151" s="1"/>
      <x:c r="C1151" s="1"/>
      <x:c r="D1151" s="1"/>
      <x:c r="E1151" s="1"/>
      <x:c r="F1151" s="1"/>
    </x:row>
    <x:row r="1152">
      <x:c r="A1152" s="1"/>
      <x:c r="B1152" s="1"/>
      <x:c r="C1152" s="1"/>
      <x:c r="D1152" s="1"/>
      <x:c r="E1152" s="1"/>
      <x:c r="F1152" s="1"/>
    </x:row>
    <x:row r="1153">
      <x:c r="A1153" s="1"/>
      <x:c r="B1153" s="1"/>
      <x:c r="C1153" s="1"/>
      <x:c r="D1153" s="1"/>
      <x:c r="E1153" s="1"/>
      <x:c r="F1153" s="1"/>
    </x:row>
    <x:row r="1154">
      <x:c r="A1154" s="1"/>
      <x:c r="B1154" s="1"/>
      <x:c r="C1154" s="1"/>
      <x:c r="D1154" s="1"/>
      <x:c r="E1154" s="1"/>
      <x:c r="F1154" s="1"/>
    </x:row>
    <x:row r="1155">
      <x:c r="A1155" s="1"/>
      <x:c r="B1155" s="1"/>
      <x:c r="C1155" s="1"/>
      <x:c r="D1155" s="1"/>
      <x:c r="E1155" s="1"/>
      <x:c r="F1155" s="1"/>
    </x:row>
    <x:row r="1156">
      <x:c r="A1156" s="1"/>
      <x:c r="B1156" s="1"/>
      <x:c r="C1156" s="1"/>
      <x:c r="D1156" s="1"/>
      <x:c r="E1156" s="1"/>
      <x:c r="F1156" s="1"/>
    </x:row>
    <x:row r="1157">
      <x:c r="A1157" s="1"/>
      <x:c r="B1157" s="1"/>
      <x:c r="C1157" s="1"/>
      <x:c r="D1157" s="1"/>
      <x:c r="E1157" s="1"/>
      <x:c r="F1157" s="1"/>
    </x:row>
    <x:row r="1158">
      <x:c r="A1158" s="1"/>
      <x:c r="B1158" s="1"/>
      <x:c r="C1158" s="1"/>
      <x:c r="D1158" s="1"/>
      <x:c r="E1158" s="1"/>
      <x:c r="F1158" s="1"/>
    </x:row>
    <x:row r="1159">
      <x:c r="A1159" s="1"/>
      <x:c r="B1159" s="1"/>
      <x:c r="C1159" s="1"/>
      <x:c r="D1159" s="1"/>
      <x:c r="E1159" s="1"/>
      <x:c r="F1159" s="1"/>
    </x:row>
    <x:row r="1160">
      <x:c r="A1160" s="1"/>
      <x:c r="B1160" s="1"/>
      <x:c r="C1160" s="1"/>
      <x:c r="D1160" s="1"/>
      <x:c r="E1160" s="1"/>
      <x:c r="F1160" s="1"/>
    </x:row>
    <x:row r="1161">
      <x:c r="A1161" s="1"/>
      <x:c r="B1161" s="1"/>
      <x:c r="C1161" s="1"/>
      <x:c r="D1161" s="1"/>
      <x:c r="E1161" s="1"/>
      <x:c r="F1161" s="1"/>
    </x:row>
    <x:row r="1162">
      <x:c r="A1162" s="1"/>
      <x:c r="B1162" s="1"/>
      <x:c r="C1162" s="1"/>
      <x:c r="D1162" s="1"/>
      <x:c r="E1162" s="1"/>
      <x:c r="F1162" s="1"/>
    </x:row>
    <x:row r="1163">
      <x:c r="A1163" s="1"/>
      <x:c r="B1163" s="1"/>
      <x:c r="C1163" s="1"/>
      <x:c r="D1163" s="1"/>
      <x:c r="E1163" s="1"/>
      <x:c r="F1163" s="1"/>
    </x:row>
    <x:row r="1164">
      <x:c r="A1164" s="1"/>
      <x:c r="B1164" s="1"/>
      <x:c r="C1164" s="1"/>
      <x:c r="D1164" s="1"/>
      <x:c r="E1164" s="1"/>
      <x:c r="F1164" s="1"/>
    </x:row>
    <x:row r="1165">
      <x:c r="A1165" s="1"/>
      <x:c r="B1165" s="1"/>
      <x:c r="C1165" s="1"/>
      <x:c r="D1165" s="1"/>
      <x:c r="E1165" s="1"/>
      <x:c r="F1165" s="1"/>
    </x:row>
    <x:row r="1166">
      <x:c r="A1166" s="1"/>
      <x:c r="B1166" s="1"/>
      <x:c r="C1166" s="1"/>
      <x:c r="D1166" s="1"/>
      <x:c r="E1166" s="1"/>
      <x:c r="F1166" s="1"/>
    </x:row>
    <x:row r="1167">
      <x:c r="A1167" s="1"/>
      <x:c r="B1167" s="1"/>
      <x:c r="C1167" s="1"/>
      <x:c r="D1167" s="1"/>
      <x:c r="E1167" s="1"/>
      <x:c r="F1167" s="1"/>
    </x:row>
    <x:row r="1168">
      <x:c r="A1168" s="1"/>
      <x:c r="B1168" s="1"/>
      <x:c r="C1168" s="1"/>
      <x:c r="D1168" s="1"/>
      <x:c r="E1168" s="1"/>
      <x:c r="F1168" s="1"/>
    </x:row>
    <x:row r="1169">
      <x:c r="A1169" s="1"/>
      <x:c r="B1169" s="1"/>
      <x:c r="C1169" s="1"/>
      <x:c r="D1169" s="1"/>
      <x:c r="E1169" s="1"/>
      <x:c r="F1169" s="1"/>
    </x:row>
    <x:row r="1170">
      <x:c r="A1170" s="1"/>
      <x:c r="B1170" s="1"/>
      <x:c r="C1170" s="1"/>
      <x:c r="D1170" s="1"/>
      <x:c r="E1170" s="1"/>
      <x:c r="F1170" s="1"/>
    </x:row>
    <x:row r="1171">
      <x:c r="A1171" s="1"/>
      <x:c r="B1171" s="1"/>
      <x:c r="C1171" s="1"/>
      <x:c r="D1171" s="1"/>
      <x:c r="E1171" s="1"/>
      <x:c r="F1171" s="1"/>
    </x:row>
    <x:row r="1172">
      <x:c r="A1172" s="1"/>
      <x:c r="B1172" s="1"/>
      <x:c r="C1172" s="1"/>
      <x:c r="D1172" s="1"/>
      <x:c r="E1172" s="1"/>
      <x:c r="F1172" s="1"/>
    </x:row>
    <x:row r="1173">
      <x:c r="A1173" s="1"/>
      <x:c r="B1173" s="1"/>
      <x:c r="C1173" s="1"/>
      <x:c r="D1173" s="1"/>
      <x:c r="E1173" s="1"/>
      <x:c r="F1173" s="1"/>
    </x:row>
    <x:row r="1174">
      <x:c r="A1174" s="1"/>
      <x:c r="B1174" s="1"/>
      <x:c r="C1174" s="1"/>
      <x:c r="D1174" s="1"/>
      <x:c r="E1174" s="1"/>
      <x:c r="F1174" s="1"/>
    </x:row>
    <x:row r="1175">
      <x:c r="A1175" s="1"/>
      <x:c r="B1175" s="1"/>
      <x:c r="C1175" s="1"/>
      <x:c r="D1175" s="1"/>
      <x:c r="E1175" s="1"/>
      <x:c r="F1175" s="1"/>
    </x:row>
    <x:row r="1176">
      <x:c r="A1176" s="1"/>
      <x:c r="B1176" s="1"/>
      <x:c r="C1176" s="1"/>
      <x:c r="D1176" s="1"/>
      <x:c r="E1176" s="1"/>
      <x:c r="F1176" s="1"/>
    </x:row>
    <x:row r="1177">
      <x:c r="A1177" s="1"/>
      <x:c r="B1177" s="1"/>
      <x:c r="C1177" s="1"/>
      <x:c r="D1177" s="1"/>
      <x:c r="E1177" s="1"/>
      <x:c r="F1177" s="1"/>
    </x:row>
    <x:row r="1178">
      <x:c r="A1178" s="1"/>
      <x:c r="B1178" s="1"/>
      <x:c r="C1178" s="1"/>
      <x:c r="D1178" s="1"/>
      <x:c r="E1178" s="1"/>
      <x:c r="F1178" s="1"/>
    </x:row>
    <x:row r="1179">
      <x:c r="A1179" s="1"/>
      <x:c r="B1179" s="1"/>
      <x:c r="C1179" s="1"/>
      <x:c r="D1179" s="1"/>
      <x:c r="E1179" s="1"/>
      <x:c r="F1179" s="1"/>
    </x:row>
    <x:row r="1180">
      <x:c r="A1180" s="1"/>
      <x:c r="B1180" s="1"/>
      <x:c r="C1180" s="1"/>
      <x:c r="D1180" s="1"/>
      <x:c r="E1180" s="1"/>
      <x:c r="F1180" s="1"/>
    </x:row>
    <x:row r="1181">
      <x:c r="A1181" s="1"/>
      <x:c r="B1181" s="1"/>
      <x:c r="C1181" s="1"/>
      <x:c r="D1181" s="1"/>
      <x:c r="E1181" s="1"/>
      <x:c r="F1181" s="1"/>
    </x:row>
    <x:row r="1182">
      <x:c r="A1182" s="1"/>
      <x:c r="B1182" s="1"/>
      <x:c r="C1182" s="1"/>
      <x:c r="D1182" s="1"/>
      <x:c r="E1182" s="1"/>
      <x:c r="F1182" s="1"/>
    </x:row>
    <x:row r="1183">
      <x:c r="A1183" s="1"/>
      <x:c r="B1183" s="1"/>
      <x:c r="C1183" s="1"/>
      <x:c r="D1183" s="1"/>
      <x:c r="E1183" s="1"/>
      <x:c r="F1183" s="1"/>
    </x:row>
    <x:row r="1184">
      <x:c r="A1184" s="1"/>
      <x:c r="B1184" s="1"/>
      <x:c r="C1184" s="1"/>
      <x:c r="D1184" s="1"/>
      <x:c r="E1184" s="1"/>
      <x:c r="F1184" s="1"/>
    </x:row>
    <x:row r="1185">
      <x:c r="A1185" s="1"/>
      <x:c r="B1185" s="1"/>
      <x:c r="C1185" s="1"/>
      <x:c r="D1185" s="1"/>
      <x:c r="E1185" s="1"/>
      <x:c r="F1185" s="1"/>
    </x:row>
    <x:row r="1186">
      <x:c r="A1186" s="1"/>
      <x:c r="B1186" s="1"/>
      <x:c r="C1186" s="1"/>
      <x:c r="D1186" s="1"/>
      <x:c r="E1186" s="1"/>
      <x:c r="F1186" s="1"/>
    </x:row>
    <x:row r="1187">
      <x:c r="A1187" s="1"/>
      <x:c r="B1187" s="1"/>
      <x:c r="C1187" s="1"/>
      <x:c r="D1187" s="1"/>
      <x:c r="E1187" s="1"/>
      <x:c r="F1187" s="1"/>
    </x:row>
    <x:row r="1188">
      <x:c r="A1188" s="1"/>
      <x:c r="B1188" s="1"/>
      <x:c r="C1188" s="1"/>
      <x:c r="D1188" s="1"/>
      <x:c r="E1188" s="1"/>
      <x:c r="F1188" s="1"/>
    </x:row>
    <x:row r="1189">
      <x:c r="A1189" s="1"/>
      <x:c r="B1189" s="1"/>
      <x:c r="C1189" s="1"/>
      <x:c r="D1189" s="1"/>
      <x:c r="E1189" s="1"/>
      <x:c r="F1189" s="1"/>
    </x:row>
    <x:row r="1190">
      <x:c r="A1190" s="1"/>
      <x:c r="B1190" s="1"/>
      <x:c r="C1190" s="1"/>
      <x:c r="D1190" s="1"/>
      <x:c r="E1190" s="1"/>
      <x:c r="F1190" s="1"/>
    </x:row>
    <x:row r="1191">
      <x:c r="A1191" s="1"/>
      <x:c r="B1191" s="1"/>
      <x:c r="C1191" s="1"/>
      <x:c r="D1191" s="1"/>
      <x:c r="E1191" s="1"/>
      <x:c r="F1191" s="1"/>
    </x:row>
    <x:row r="1192">
      <x:c r="A1192" s="1"/>
      <x:c r="B1192" s="1"/>
      <x:c r="C1192" s="1"/>
      <x:c r="D1192" s="1"/>
      <x:c r="E1192" s="1"/>
      <x:c r="F1192" s="1"/>
    </x:row>
    <x:row r="1193">
      <x:c r="A1193" s="1"/>
      <x:c r="B1193" s="1"/>
      <x:c r="C1193" s="1"/>
      <x:c r="D1193" s="1"/>
      <x:c r="E1193" s="1"/>
      <x:c r="F1193" s="1"/>
    </x:row>
    <x:row r="1194">
      <x:c r="A1194" s="1"/>
      <x:c r="B1194" s="1"/>
      <x:c r="C1194" s="1"/>
      <x:c r="D1194" s="1"/>
      <x:c r="E1194" s="1"/>
      <x:c r="F1194" s="1"/>
    </x:row>
    <x:row r="1195">
      <x:c r="A1195" s="1"/>
      <x:c r="B1195" s="1"/>
      <x:c r="C1195" s="1"/>
      <x:c r="D1195" s="1"/>
      <x:c r="E1195" s="1"/>
      <x:c r="F1195" s="1"/>
    </x:row>
    <x:row r="1196">
      <x:c r="A1196" s="1"/>
      <x:c r="B1196" s="1"/>
      <x:c r="C1196" s="1"/>
      <x:c r="D1196" s="1"/>
      <x:c r="E1196" s="1"/>
      <x:c r="F1196" s="1"/>
    </x:row>
    <x:row r="1197">
      <x:c r="A1197" s="1"/>
      <x:c r="B1197" s="1"/>
      <x:c r="C1197" s="1"/>
      <x:c r="D1197" s="1"/>
      <x:c r="E1197" s="1"/>
      <x:c r="F1197" s="1"/>
    </x:row>
    <x:row r="1198">
      <x:c r="A1198" s="1"/>
      <x:c r="B1198" s="1"/>
      <x:c r="C1198" s="1"/>
      <x:c r="D1198" s="1"/>
      <x:c r="E1198" s="1"/>
      <x:c r="F1198" s="1"/>
    </x:row>
    <x:row r="1199">
      <x:c r="A1199" s="1"/>
      <x:c r="B1199" s="1"/>
      <x:c r="C1199" s="1"/>
      <x:c r="D1199" s="1"/>
      <x:c r="E1199" s="1"/>
      <x:c r="F1199" s="1"/>
    </x:row>
    <x:row r="1200">
      <x:c r="A1200" s="1"/>
      <x:c r="B1200" s="1"/>
      <x:c r="C1200" s="1"/>
      <x:c r="D1200" s="1"/>
      <x:c r="E1200" s="1"/>
      <x:c r="F1200" s="1"/>
    </x:row>
    <x:row r="1201">
      <x:c r="A1201" s="1"/>
      <x:c r="B1201" s="1"/>
      <x:c r="C1201" s="1"/>
      <x:c r="D1201" s="1"/>
      <x:c r="E1201" s="1"/>
      <x:c r="F1201" s="1"/>
    </x:row>
    <x:row r="1202">
      <x:c r="A1202" s="1"/>
      <x:c r="B1202" s="1"/>
      <x:c r="C1202" s="1"/>
      <x:c r="D1202" s="1"/>
      <x:c r="E1202" s="1"/>
      <x:c r="F1202" s="1"/>
    </x:row>
    <x:row r="1203">
      <x:c r="A1203" s="1"/>
      <x:c r="B1203" s="1"/>
      <x:c r="C1203" s="1"/>
      <x:c r="D1203" s="1"/>
      <x:c r="E1203" s="1"/>
      <x:c r="F1203" s="1"/>
    </x:row>
    <x:row r="1204">
      <x:c r="A1204" s="1"/>
      <x:c r="B1204" s="1"/>
      <x:c r="C1204" s="1"/>
      <x:c r="D1204" s="1"/>
      <x:c r="E1204" s="1"/>
      <x:c r="F1204" s="1"/>
    </x:row>
    <x:row r="1205">
      <x:c r="A1205" s="1"/>
      <x:c r="B1205" s="1"/>
      <x:c r="C1205" s="1"/>
      <x:c r="D1205" s="1"/>
      <x:c r="E1205" s="1"/>
      <x:c r="F1205" s="1"/>
    </x:row>
    <x:row r="1206">
      <x:c r="A1206" s="1"/>
      <x:c r="B1206" s="1"/>
      <x:c r="C1206" s="1"/>
      <x:c r="D1206" s="1"/>
      <x:c r="E1206" s="1"/>
      <x:c r="F1206" s="1"/>
    </x:row>
    <x:row r="1207">
      <x:c r="A1207" s="1"/>
      <x:c r="B1207" s="1"/>
      <x:c r="C1207" s="1"/>
      <x:c r="D1207" s="1"/>
      <x:c r="E1207" s="1"/>
      <x:c r="F1207" s="1"/>
    </x:row>
    <x:row r="1208">
      <x:c r="A1208" s="1"/>
      <x:c r="B1208" s="1"/>
      <x:c r="C1208" s="1"/>
      <x:c r="D1208" s="1"/>
      <x:c r="E1208" s="1"/>
      <x:c r="F1208" s="1"/>
    </x:row>
    <x:row r="1209">
      <x:c r="A1209" s="1"/>
      <x:c r="B1209" s="1"/>
      <x:c r="C1209" s="1"/>
      <x:c r="D1209" s="1"/>
      <x:c r="E1209" s="1"/>
      <x:c r="F1209" s="1"/>
    </x:row>
    <x:row r="1210">
      <x:c r="A1210" s="1"/>
      <x:c r="B1210" s="1"/>
      <x:c r="C1210" s="1"/>
      <x:c r="D1210" s="1"/>
      <x:c r="E1210" s="1"/>
      <x:c r="F1210" s="1"/>
    </x:row>
    <x:row r="1211">
      <x:c r="A1211" s="1"/>
      <x:c r="B1211" s="1"/>
      <x:c r="C1211" s="1"/>
      <x:c r="D1211" s="1"/>
      <x:c r="E1211" s="1"/>
      <x:c r="F1211" s="1"/>
    </x:row>
    <x:row r="1212">
      <x:c r="A1212" s="1"/>
      <x:c r="B1212" s="1"/>
      <x:c r="C1212" s="1"/>
      <x:c r="D1212" s="1"/>
      <x:c r="E1212" s="1"/>
      <x:c r="F1212" s="1"/>
    </x:row>
    <x:row r="1213">
      <x:c r="A1213" s="1"/>
      <x:c r="B1213" s="1"/>
      <x:c r="C1213" s="1"/>
      <x:c r="D1213" s="1"/>
      <x:c r="E1213" s="1"/>
      <x:c r="F1213" s="1"/>
    </x:row>
    <x:row r="1214">
      <x:c r="A1214" s="1"/>
      <x:c r="B1214" s="1"/>
      <x:c r="C1214" s="1"/>
      <x:c r="D1214" s="1"/>
      <x:c r="E1214" s="1"/>
      <x:c r="F1214" s="1"/>
    </x:row>
    <x:row r="1215">
      <x:c r="A1215" s="1"/>
      <x:c r="B1215" s="1"/>
      <x:c r="C1215" s="1"/>
      <x:c r="D1215" s="1"/>
      <x:c r="E1215" s="1"/>
      <x:c r="F1215" s="1"/>
    </x:row>
    <x:row r="1216">
      <x:c r="A1216" s="1"/>
      <x:c r="B1216" s="1"/>
      <x:c r="C1216" s="1"/>
      <x:c r="D1216" s="1"/>
      <x:c r="E1216" s="1"/>
      <x:c r="F1216" s="1"/>
    </x:row>
    <x:row r="1217">
      <x:c r="A1217" s="1"/>
      <x:c r="B1217" s="1"/>
      <x:c r="C1217" s="1"/>
      <x:c r="D1217" s="1"/>
      <x:c r="E1217" s="1"/>
      <x:c r="F1217" s="1"/>
    </x:row>
    <x:row r="1218">
      <x:c r="A1218" s="1"/>
      <x:c r="B1218" s="1"/>
      <x:c r="C1218" s="1"/>
      <x:c r="D1218" s="1"/>
      <x:c r="E1218" s="1"/>
      <x:c r="F1218" s="1"/>
    </x:row>
    <x:row r="1219">
      <x:c r="A1219" s="1"/>
      <x:c r="B1219" s="1"/>
      <x:c r="C1219" s="1"/>
      <x:c r="D1219" s="1"/>
      <x:c r="E1219" s="1"/>
      <x:c r="F1219" s="1"/>
    </x:row>
    <x:row r="1220">
      <x:c r="A1220" s="1"/>
      <x:c r="B1220" s="1"/>
      <x:c r="C1220" s="1"/>
      <x:c r="D1220" s="1"/>
      <x:c r="E1220" s="1"/>
      <x:c r="F1220" s="1"/>
    </x:row>
    <x:row r="1221">
      <x:c r="A1221" s="1"/>
      <x:c r="B1221" s="1"/>
      <x:c r="C1221" s="1"/>
      <x:c r="D1221" s="1"/>
      <x:c r="E1221" s="1"/>
      <x:c r="F1221" s="1"/>
    </x:row>
    <x:row r="1222">
      <x:c r="A1222" s="1"/>
      <x:c r="B1222" s="1"/>
      <x:c r="C1222" s="1"/>
      <x:c r="D1222" s="1"/>
      <x:c r="E1222" s="1"/>
      <x:c r="F1222" s="1"/>
    </x:row>
    <x:row r="1223">
      <x:c r="A1223" s="1"/>
      <x:c r="B1223" s="1"/>
      <x:c r="C1223" s="1"/>
      <x:c r="D1223" s="1"/>
      <x:c r="E1223" s="1"/>
      <x:c r="F1223" s="1"/>
    </x:row>
    <x:row r="1224">
      <x:c r="A1224" s="1"/>
      <x:c r="B1224" s="1"/>
      <x:c r="C1224" s="1"/>
      <x:c r="D1224" s="1"/>
      <x:c r="E1224" s="1"/>
      <x:c r="F1224" s="1"/>
    </x:row>
    <x:row r="1225">
      <x:c r="A1225" s="1"/>
      <x:c r="B1225" s="1"/>
      <x:c r="C1225" s="1"/>
      <x:c r="D1225" s="1"/>
      <x:c r="E1225" s="1"/>
      <x:c r="F1225" s="1"/>
    </x:row>
    <x:row r="1226">
      <x:c r="A1226" s="1"/>
      <x:c r="B1226" s="1"/>
      <x:c r="C1226" s="1"/>
      <x:c r="D1226" s="1"/>
      <x:c r="E1226" s="1"/>
      <x:c r="F1226" s="1"/>
    </x:row>
    <x:row r="1227">
      <x:c r="A1227" s="1"/>
      <x:c r="B1227" s="1"/>
      <x:c r="C1227" s="1"/>
      <x:c r="D1227" s="1"/>
      <x:c r="E1227" s="1"/>
      <x:c r="F1227" s="1"/>
    </x:row>
    <x:row r="1228">
      <x:c r="A1228" s="1"/>
      <x:c r="B1228" s="1"/>
      <x:c r="C1228" s="1"/>
      <x:c r="D1228" s="1"/>
      <x:c r="E1228" s="1"/>
      <x:c r="F1228" s="1"/>
    </x:row>
    <x:row r="1229">
      <x:c r="A1229" s="1"/>
      <x:c r="B1229" s="1"/>
      <x:c r="C1229" s="1"/>
      <x:c r="D1229" s="1"/>
      <x:c r="E1229" s="1"/>
      <x:c r="F1229" s="1"/>
    </x:row>
    <x:row r="1230">
      <x:c r="A1230" s="1"/>
      <x:c r="B1230" s="1"/>
      <x:c r="C1230" s="1"/>
      <x:c r="D1230" s="1"/>
      <x:c r="E1230" s="1"/>
      <x:c r="F1230" s="1"/>
    </x:row>
    <x:row r="1231">
      <x:c r="A1231" s="1"/>
      <x:c r="B1231" s="1"/>
      <x:c r="C1231" s="1"/>
      <x:c r="D1231" s="1"/>
      <x:c r="E1231" s="1"/>
      <x:c r="F1231" s="1"/>
    </x:row>
    <x:row r="1232">
      <x:c r="A1232" s="1"/>
      <x:c r="B1232" s="1"/>
      <x:c r="C1232" s="1"/>
      <x:c r="D1232" s="1"/>
      <x:c r="E1232" s="1"/>
      <x:c r="F1232" s="1"/>
    </x:row>
    <x:row r="1233">
      <x:c r="A1233" s="1"/>
      <x:c r="B1233" s="1"/>
      <x:c r="C1233" s="1"/>
      <x:c r="D1233" s="1"/>
      <x:c r="E1233" s="1"/>
      <x:c r="F1233" s="1"/>
    </x:row>
    <x:row r="1234">
      <x:c r="A1234" s="1"/>
      <x:c r="B1234" s="1"/>
      <x:c r="C1234" s="1"/>
      <x:c r="D1234" s="1"/>
      <x:c r="E1234" s="1"/>
      <x:c r="F1234" s="1"/>
    </x:row>
    <x:row r="1235">
      <x:c r="A1235" s="1"/>
      <x:c r="B1235" s="1"/>
      <x:c r="C1235" s="1"/>
      <x:c r="D1235" s="1"/>
      <x:c r="E1235" s="1"/>
      <x:c r="F1235" s="1"/>
    </x:row>
    <x:row r="1236">
      <x:c r="A1236" s="1"/>
      <x:c r="B1236" s="1"/>
      <x:c r="C1236" s="1"/>
      <x:c r="D1236" s="1"/>
      <x:c r="E1236" s="1"/>
      <x:c r="F1236" s="1"/>
    </x:row>
    <x:row r="1237">
      <x:c r="A1237" s="1"/>
      <x:c r="B1237" s="1"/>
      <x:c r="C1237" s="1"/>
      <x:c r="D1237" s="1"/>
      <x:c r="E1237" s="1"/>
      <x:c r="F1237" s="1"/>
    </x:row>
    <x:row r="1238">
      <x:c r="A1238" s="1"/>
      <x:c r="B1238" s="1"/>
      <x:c r="C1238" s="1"/>
      <x:c r="D1238" s="1"/>
      <x:c r="E1238" s="1"/>
      <x:c r="F1238" s="1"/>
    </x:row>
    <x:row r="1239">
      <x:c r="A1239" s="1"/>
      <x:c r="B1239" s="1"/>
      <x:c r="C1239" s="1"/>
      <x:c r="D1239" s="1"/>
      <x:c r="E1239" s="1"/>
      <x:c r="F1239" s="1"/>
    </x:row>
    <x:row r="1240">
      <x:c r="A1240" s="1"/>
      <x:c r="B1240" s="1"/>
      <x:c r="C1240" s="1"/>
      <x:c r="D1240" s="1"/>
      <x:c r="E1240" s="1"/>
      <x:c r="F1240" s="1"/>
    </x:row>
    <x:row r="1241">
      <x:c r="A1241" s="1"/>
      <x:c r="B1241" s="1"/>
      <x:c r="C1241" s="1"/>
      <x:c r="D1241" s="1"/>
      <x:c r="E1241" s="1"/>
      <x:c r="F1241" s="1"/>
    </x:row>
    <x:row r="1242">
      <x:c r="A1242" s="1"/>
      <x:c r="B1242" s="1"/>
      <x:c r="C1242" s="1"/>
      <x:c r="D1242" s="1"/>
      <x:c r="E1242" s="1"/>
      <x:c r="F1242" s="1"/>
    </x:row>
    <x:row r="1243">
      <x:c r="A1243" s="1"/>
      <x:c r="B1243" s="1"/>
      <x:c r="C1243" s="1"/>
      <x:c r="D1243" s="1"/>
      <x:c r="E1243" s="1"/>
      <x:c r="F1243" s="1"/>
    </x:row>
    <x:row r="1244">
      <x:c r="A1244" s="1"/>
      <x:c r="B1244" s="1"/>
      <x:c r="C1244" s="1"/>
      <x:c r="D1244" s="1"/>
      <x:c r="E1244" s="1"/>
      <x:c r="F1244" s="1"/>
    </x:row>
    <x:row r="1245">
      <x:c r="A1245" s="1"/>
      <x:c r="B1245" s="1"/>
      <x:c r="C1245" s="1"/>
      <x:c r="D1245" s="1"/>
      <x:c r="E1245" s="1"/>
      <x:c r="F1245" s="1"/>
    </x:row>
    <x:row r="1246">
      <x:c r="A1246" s="1"/>
      <x:c r="B1246" s="1"/>
      <x:c r="C1246" s="1"/>
      <x:c r="D1246" s="1"/>
      <x:c r="E1246" s="1"/>
      <x:c r="F1246" s="1"/>
    </x:row>
    <x:row r="1247">
      <x:c r="A1247" s="1"/>
      <x:c r="B1247" s="1"/>
      <x:c r="C1247" s="1"/>
      <x:c r="D1247" s="1"/>
      <x:c r="E1247" s="1"/>
      <x:c r="F1247" s="1"/>
    </x:row>
    <x:row r="1248">
      <x:c r="A1248" s="1"/>
      <x:c r="B1248" s="1"/>
      <x:c r="C1248" s="1"/>
      <x:c r="D1248" s="1"/>
      <x:c r="E1248" s="1"/>
      <x:c r="F1248" s="1"/>
    </x:row>
    <x:row r="1249">
      <x:c r="A1249" s="1"/>
      <x:c r="B1249" s="1"/>
      <x:c r="C1249" s="1"/>
      <x:c r="D1249" s="1"/>
      <x:c r="E1249" s="1"/>
      <x:c r="F1249" s="1"/>
    </x:row>
    <x:row r="1250">
      <x:c r="A1250" s="1"/>
      <x:c r="B1250" s="1"/>
      <x:c r="C1250" s="1"/>
      <x:c r="D1250" s="1"/>
      <x:c r="E1250" s="1"/>
      <x:c r="F1250" s="1"/>
    </x:row>
    <x:row r="1251">
      <x:c r="A1251" s="1"/>
      <x:c r="B1251" s="1"/>
      <x:c r="C1251" s="1"/>
      <x:c r="D1251" s="1"/>
      <x:c r="E1251" s="1"/>
      <x:c r="F1251" s="1"/>
    </x:row>
    <x:row r="1252">
      <x:c r="A1252" s="1"/>
      <x:c r="B1252" s="1"/>
      <x:c r="C1252" s="1"/>
      <x:c r="D1252" s="1"/>
      <x:c r="E1252" s="1"/>
      <x:c r="F1252" s="1"/>
    </x:row>
    <x:row r="1253">
      <x:c r="A1253" s="1"/>
      <x:c r="B1253" s="1"/>
      <x:c r="C1253" s="1"/>
      <x:c r="D1253" s="1"/>
      <x:c r="E1253" s="1"/>
      <x:c r="F1253" s="1"/>
    </x:row>
    <x:row r="1254">
      <x:c r="A1254" s="1"/>
      <x:c r="B1254" s="1"/>
      <x:c r="C1254" s="1"/>
      <x:c r="D1254" s="1"/>
      <x:c r="E1254" s="1"/>
      <x:c r="F1254" s="1"/>
    </x:row>
    <x:row r="1255">
      <x:c r="A1255" s="1"/>
      <x:c r="B1255" s="1"/>
      <x:c r="C1255" s="1"/>
      <x:c r="D1255" s="1"/>
      <x:c r="E1255" s="1"/>
      <x:c r="F1255" s="1"/>
    </x:row>
    <x:row r="1256">
      <x:c r="A1256" s="1"/>
      <x:c r="B1256" s="1"/>
      <x:c r="C1256" s="1"/>
      <x:c r="D1256" s="1"/>
      <x:c r="E1256" s="1"/>
      <x:c r="F1256" s="1"/>
    </x:row>
    <x:row r="1257">
      <x:c r="A1257" s="1"/>
      <x:c r="B1257" s="1"/>
      <x:c r="C1257" s="1"/>
      <x:c r="D1257" s="1"/>
      <x:c r="E1257" s="1"/>
      <x:c r="F1257" s="1"/>
    </x:row>
    <x:row r="1258">
      <x:c r="A1258" s="1"/>
      <x:c r="B1258" s="1"/>
      <x:c r="C1258" s="1"/>
      <x:c r="D1258" s="1"/>
      <x:c r="E1258" s="1"/>
      <x:c r="F1258" s="1"/>
    </x:row>
    <x:row r="1259">
      <x:c r="A1259" s="1"/>
      <x:c r="B1259" s="1"/>
      <x:c r="C1259" s="1"/>
      <x:c r="D1259" s="1"/>
      <x:c r="E1259" s="1"/>
      <x:c r="F1259" s="1"/>
    </x:row>
    <x:row r="1260">
      <x:c r="A1260" s="1"/>
      <x:c r="B1260" s="1"/>
      <x:c r="C1260" s="1"/>
      <x:c r="D1260" s="1"/>
      <x:c r="E1260" s="1"/>
      <x:c r="F1260" s="1"/>
    </x:row>
    <x:row r="1261">
      <x:c r="A1261" s="1"/>
      <x:c r="B1261" s="1"/>
      <x:c r="C1261" s="1"/>
      <x:c r="D1261" s="1"/>
      <x:c r="E1261" s="1"/>
      <x:c r="F1261" s="1"/>
    </x:row>
    <x:row r="1262">
      <x:c r="A1262" s="1"/>
      <x:c r="B1262" s="1"/>
      <x:c r="C1262" s="1"/>
      <x:c r="D1262" s="1"/>
      <x:c r="E1262" s="1"/>
      <x:c r="F1262" s="1"/>
    </x:row>
    <x:row r="1263">
      <x:c r="A1263" s="1"/>
      <x:c r="B1263" s="1"/>
      <x:c r="C1263" s="1"/>
      <x:c r="D1263" s="1"/>
      <x:c r="E1263" s="1"/>
      <x:c r="F1263" s="1"/>
    </x:row>
    <x:row r="1264">
      <x:c r="A1264" s="1"/>
      <x:c r="B1264" s="1"/>
      <x:c r="C1264" s="1"/>
      <x:c r="D1264" s="1"/>
      <x:c r="E1264" s="1"/>
      <x:c r="F1264" s="1"/>
    </x:row>
    <x:row r="1265">
      <x:c r="A1265" s="1"/>
      <x:c r="B1265" s="1"/>
      <x:c r="C1265" s="1"/>
      <x:c r="D1265" s="1"/>
      <x:c r="E1265" s="1"/>
      <x:c r="F1265" s="1"/>
    </x:row>
    <x:row r="1266">
      <x:c r="A1266" s="1"/>
      <x:c r="B1266" s="1"/>
      <x:c r="C1266" s="1"/>
      <x:c r="D1266" s="1"/>
      <x:c r="E1266" s="1"/>
      <x:c r="F1266" s="1"/>
    </x:row>
    <x:row r="1267">
      <x:c r="A1267" s="1"/>
      <x:c r="B1267" s="1"/>
      <x:c r="C1267" s="1"/>
      <x:c r="D1267" s="1"/>
      <x:c r="E1267" s="1"/>
      <x:c r="F1267" s="1"/>
    </x:row>
    <x:row r="1268">
      <x:c r="A1268" s="1"/>
      <x:c r="B1268" s="1"/>
      <x:c r="C1268" s="1"/>
      <x:c r="D1268" s="1"/>
      <x:c r="E1268" s="1"/>
      <x:c r="F1268" s="1"/>
    </x:row>
    <x:row r="1269">
      <x:c r="A1269" s="1"/>
      <x:c r="B1269" s="1"/>
      <x:c r="C1269" s="1"/>
      <x:c r="D1269" s="1"/>
      <x:c r="E1269" s="1"/>
      <x:c r="F1269" s="1"/>
    </x:row>
    <x:row r="1270">
      <x:c r="A1270" s="1"/>
      <x:c r="B1270" s="1"/>
      <x:c r="C1270" s="1"/>
      <x:c r="D1270" s="1"/>
      <x:c r="E1270" s="1"/>
      <x:c r="F1270" s="1"/>
    </x:row>
    <x:row r="1271">
      <x:c r="A1271" s="1"/>
      <x:c r="B1271" s="1"/>
      <x:c r="C1271" s="1"/>
      <x:c r="D1271" s="1"/>
      <x:c r="E1271" s="1"/>
      <x:c r="F1271" s="1"/>
    </x:row>
    <x:row r="1272">
      <x:c r="A1272" s="1"/>
      <x:c r="B1272" s="1"/>
      <x:c r="C1272" s="1"/>
      <x:c r="D1272" s="1"/>
      <x:c r="E1272" s="1"/>
      <x:c r="F1272" s="1"/>
    </x:row>
    <x:row r="1273">
      <x:c r="A1273" s="1"/>
      <x:c r="B1273" s="1"/>
      <x:c r="C1273" s="1"/>
      <x:c r="D1273" s="1"/>
      <x:c r="E1273" s="1"/>
      <x:c r="F1273" s="1"/>
    </x:row>
    <x:row r="1274">
      <x:c r="A1274" s="1"/>
      <x:c r="B1274" s="1"/>
      <x:c r="C1274" s="1"/>
      <x:c r="D1274" s="1"/>
      <x:c r="E1274" s="1"/>
      <x:c r="F1274" s="1"/>
    </x:row>
    <x:row r="1275">
      <x:c r="A1275" s="1"/>
      <x:c r="B1275" s="1"/>
      <x:c r="C1275" s="1"/>
      <x:c r="D1275" s="1"/>
      <x:c r="E1275" s="1"/>
      <x:c r="F1275" s="1"/>
    </x:row>
    <x:row r="1276">
      <x:c r="A1276" s="1"/>
      <x:c r="B1276" s="1"/>
      <x:c r="C1276" s="1"/>
      <x:c r="D1276" s="1"/>
      <x:c r="E1276" s="1"/>
      <x:c r="F1276" s="1"/>
    </x:row>
    <x:row r="1277">
      <x:c r="A1277" s="1"/>
      <x:c r="B1277" s="1"/>
      <x:c r="C1277" s="1"/>
      <x:c r="D1277" s="1"/>
      <x:c r="E1277" s="1"/>
      <x:c r="F1277" s="1"/>
    </x:row>
    <x:row r="1278">
      <x:c r="A1278" s="1"/>
      <x:c r="B1278" s="1"/>
      <x:c r="C1278" s="1"/>
      <x:c r="D1278" s="1"/>
      <x:c r="E1278" s="1"/>
      <x:c r="F1278" s="1"/>
    </x:row>
    <x:row r="1279">
      <x:c r="A1279" s="1"/>
      <x:c r="B1279" s="1"/>
      <x:c r="C1279" s="1"/>
      <x:c r="D1279" s="1"/>
      <x:c r="E1279" s="1"/>
      <x:c r="F1279" s="1"/>
    </x:row>
    <x:row r="1280">
      <x:c r="A1280" s="1"/>
      <x:c r="B1280" s="1"/>
      <x:c r="C1280" s="1"/>
      <x:c r="D1280" s="1"/>
      <x:c r="E1280" s="1"/>
      <x:c r="F1280" s="1"/>
    </x:row>
    <x:row r="1281">
      <x:c r="A1281" s="1"/>
      <x:c r="B1281" s="1"/>
      <x:c r="C1281" s="1"/>
      <x:c r="D1281" s="1"/>
      <x:c r="E1281" s="1"/>
      <x:c r="F1281" s="1"/>
    </x:row>
    <x:row r="1282">
      <x:c r="A1282" s="1"/>
      <x:c r="B1282" s="1"/>
      <x:c r="C1282" s="1"/>
      <x:c r="D1282" s="1"/>
      <x:c r="E1282" s="1"/>
      <x:c r="F1282" s="1"/>
    </x:row>
    <x:row r="1283">
      <x:c r="A1283" s="1"/>
      <x:c r="B1283" s="1"/>
      <x:c r="C1283" s="1"/>
      <x:c r="D1283" s="1"/>
      <x:c r="E1283" s="1"/>
      <x:c r="F1283" s="1"/>
    </x:row>
    <x:row r="1284">
      <x:c r="A1284" s="1"/>
      <x:c r="B1284" s="1"/>
      <x:c r="C1284" s="1"/>
      <x:c r="D1284" s="1"/>
      <x:c r="E1284" s="1"/>
      <x:c r="F1284" s="1"/>
    </x:row>
    <x:row r="1285">
      <x:c r="A1285" s="1"/>
      <x:c r="B1285" s="1"/>
      <x:c r="C1285" s="1"/>
      <x:c r="D1285" s="1"/>
      <x:c r="E1285" s="1"/>
      <x:c r="F1285" s="1"/>
    </x:row>
    <x:row r="1286">
      <x:c r="A1286" s="1"/>
      <x:c r="B1286" s="1"/>
      <x:c r="C1286" s="1"/>
      <x:c r="D1286" s="1"/>
      <x:c r="E1286" s="1"/>
      <x:c r="F1286" s="1"/>
    </x:row>
    <x:row r="1287">
      <x:c r="A1287" s="1"/>
      <x:c r="B1287" s="1"/>
      <x:c r="C1287" s="1"/>
      <x:c r="D1287" s="1"/>
      <x:c r="E1287" s="1"/>
      <x:c r="F1287" s="1"/>
    </x:row>
    <x:row r="1288">
      <x:c r="A1288" s="1"/>
      <x:c r="B1288" s="1"/>
      <x:c r="C1288" s="1"/>
      <x:c r="D1288" s="1"/>
      <x:c r="E1288" s="1"/>
      <x:c r="F1288" s="1"/>
    </x:row>
    <x:row r="1289">
      <x:c r="A1289" s="1"/>
      <x:c r="B1289" s="1"/>
      <x:c r="C1289" s="1"/>
      <x:c r="D1289" s="1"/>
      <x:c r="E1289" s="1"/>
      <x:c r="F1289" s="1"/>
    </x:row>
    <x:row r="1290">
      <x:c r="A1290" s="1"/>
      <x:c r="B1290" s="1"/>
      <x:c r="C1290" s="1"/>
      <x:c r="D1290" s="1"/>
      <x:c r="E1290" s="1"/>
      <x:c r="F1290" s="1"/>
    </x:row>
    <x:row r="1291">
      <x:c r="A1291" s="1"/>
      <x:c r="B1291" s="1"/>
      <x:c r="C1291" s="1"/>
      <x:c r="D1291" s="1"/>
      <x:c r="E1291" s="1"/>
      <x:c r="F1291" s="1"/>
    </x:row>
    <x:row r="1292">
      <x:c r="A1292" s="1"/>
      <x:c r="B1292" s="1"/>
      <x:c r="C1292" s="1"/>
      <x:c r="D1292" s="1"/>
      <x:c r="E1292" s="1"/>
      <x:c r="F1292" s="1"/>
    </x:row>
    <x:row r="1293">
      <x:c r="A1293" s="1"/>
      <x:c r="B1293" s="1"/>
      <x:c r="C1293" s="1"/>
      <x:c r="D1293" s="1"/>
      <x:c r="E1293" s="1"/>
      <x:c r="F1293" s="1"/>
    </x:row>
    <x:row r="1294">
      <x:c r="A1294" s="1"/>
      <x:c r="B1294" s="1"/>
      <x:c r="C1294" s="1"/>
      <x:c r="D1294" s="1"/>
      <x:c r="E1294" s="1"/>
      <x:c r="F1294" s="1"/>
    </x:row>
    <x:row r="1295">
      <x:c r="A1295" s="1"/>
      <x:c r="B1295" s="1"/>
      <x:c r="C1295" s="1"/>
      <x:c r="D1295" s="1"/>
      <x:c r="E1295" s="1"/>
      <x:c r="F1295" s="1"/>
    </x:row>
    <x:row r="1296">
      <x:c r="A1296" s="1"/>
      <x:c r="B1296" s="1"/>
      <x:c r="C1296" s="1"/>
      <x:c r="D1296" s="1"/>
      <x:c r="E1296" s="1"/>
      <x:c r="F1296" s="1"/>
    </x:row>
    <x:row r="1297">
      <x:c r="A1297" s="1"/>
      <x:c r="B1297" s="1"/>
      <x:c r="C1297" s="1"/>
      <x:c r="D1297" s="1"/>
      <x:c r="E1297" s="1"/>
      <x:c r="F1297" s="1"/>
    </x:row>
    <x:row r="1298">
      <x:c r="A1298" s="1"/>
      <x:c r="B1298" s="1"/>
      <x:c r="C1298" s="1"/>
      <x:c r="D1298" s="1"/>
      <x:c r="E1298" s="1"/>
      <x:c r="F1298" s="1"/>
    </x:row>
    <x:row r="1299">
      <x:c r="A1299" s="1"/>
      <x:c r="B1299" s="1"/>
      <x:c r="C1299" s="1"/>
      <x:c r="D1299" s="1"/>
      <x:c r="E1299" s="1"/>
      <x:c r="F1299" s="1"/>
    </x:row>
    <x:row r="1300">
      <x:c r="A1300" s="1"/>
      <x:c r="B1300" s="1"/>
      <x:c r="C1300" s="1"/>
      <x:c r="D1300" s="1"/>
      <x:c r="E1300" s="1"/>
      <x:c r="F1300" s="1"/>
    </x:row>
    <x:row r="1301">
      <x:c r="A1301" s="1"/>
      <x:c r="B1301" s="1"/>
      <x:c r="C1301" s="1"/>
      <x:c r="D1301" s="1"/>
      <x:c r="E1301" s="1"/>
      <x:c r="F1301" s="1"/>
    </x:row>
    <x:row r="1302">
      <x:c r="A1302" s="1"/>
      <x:c r="B1302" s="1"/>
      <x:c r="C1302" s="1"/>
      <x:c r="D1302" s="1"/>
      <x:c r="E1302" s="1"/>
      <x:c r="F1302" s="1"/>
    </x:row>
    <x:row r="1303">
      <x:c r="A1303" s="1"/>
      <x:c r="B1303" s="1"/>
      <x:c r="C1303" s="1"/>
      <x:c r="D1303" s="1"/>
      <x:c r="E1303" s="1"/>
      <x:c r="F1303" s="1"/>
    </x:row>
    <x:row r="1304">
      <x:c r="A1304" s="1"/>
      <x:c r="B1304" s="1"/>
      <x:c r="C1304" s="1"/>
      <x:c r="D1304" s="1"/>
      <x:c r="E1304" s="1"/>
      <x:c r="F1304" s="1"/>
    </x:row>
    <x:row r="1305">
      <x:c r="A1305" s="1"/>
      <x:c r="B1305" s="1"/>
      <x:c r="C1305" s="1"/>
      <x:c r="D1305" s="1"/>
      <x:c r="E1305" s="1"/>
      <x:c r="F1305" s="1"/>
    </x:row>
    <x:row r="1306">
      <x:c r="A1306" s="1"/>
      <x:c r="B1306" s="1"/>
      <x:c r="C1306" s="1"/>
      <x:c r="D1306" s="1"/>
      <x:c r="E1306" s="1"/>
      <x:c r="F1306" s="1"/>
    </x:row>
    <x:row r="1307">
      <x:c r="A1307" s="1"/>
      <x:c r="B1307" s="1"/>
      <x:c r="C1307" s="1"/>
      <x:c r="D1307" s="1"/>
      <x:c r="E1307" s="1"/>
      <x:c r="F1307" s="1"/>
    </x:row>
    <x:row r="1308">
      <x:c r="A1308" s="1"/>
      <x:c r="B1308" s="1"/>
      <x:c r="C1308" s="1"/>
      <x:c r="D1308" s="1"/>
      <x:c r="E1308" s="1"/>
      <x:c r="F1308" s="1"/>
    </x:row>
    <x:row r="1309">
      <x:c r="A1309" s="1"/>
      <x:c r="B1309" s="1"/>
      <x:c r="C1309" s="1"/>
      <x:c r="D1309" s="1"/>
      <x:c r="E1309" s="1"/>
      <x:c r="F1309" s="1"/>
    </x:row>
    <x:row r="1310">
      <x:c r="A1310" s="1"/>
      <x:c r="B1310" s="1"/>
      <x:c r="C1310" s="1"/>
      <x:c r="D1310" s="1"/>
      <x:c r="E1310" s="1"/>
      <x:c r="F1310" s="1"/>
    </x:row>
    <x:row r="1311">
      <x:c r="A1311" s="1"/>
      <x:c r="B1311" s="1"/>
      <x:c r="C1311" s="1"/>
      <x:c r="D1311" s="1"/>
      <x:c r="E1311" s="1"/>
      <x:c r="F1311" s="1"/>
    </x:row>
    <x:row r="1312">
      <x:c r="A1312" s="1"/>
      <x:c r="B1312" s="1"/>
      <x:c r="C1312" s="1"/>
      <x:c r="D1312" s="1"/>
      <x:c r="E1312" s="1"/>
      <x:c r="F1312" s="1"/>
    </x:row>
    <x:row r="1313">
      <x:c r="A1313" s="1"/>
      <x:c r="B1313" s="1"/>
      <x:c r="C1313" s="1"/>
      <x:c r="D1313" s="1"/>
      <x:c r="E1313" s="1"/>
      <x:c r="F1313" s="1"/>
    </x:row>
    <x:row r="1314">
      <x:c r="A1314" s="1"/>
      <x:c r="B1314" s="1"/>
      <x:c r="C1314" s="1"/>
      <x:c r="D1314" s="1"/>
      <x:c r="E1314" s="1"/>
      <x:c r="F1314" s="1"/>
    </x:row>
    <x:row r="1315">
      <x:c r="A1315" s="1"/>
      <x:c r="B1315" s="1"/>
      <x:c r="C1315" s="1"/>
      <x:c r="D1315" s="1"/>
      <x:c r="E1315" s="1"/>
      <x:c r="F1315" s="1"/>
    </x:row>
    <x:row r="1316">
      <x:c r="A1316" s="1"/>
      <x:c r="B1316" s="1"/>
      <x:c r="C1316" s="1"/>
      <x:c r="D1316" s="1"/>
      <x:c r="E1316" s="1"/>
      <x:c r="F1316" s="1"/>
    </x:row>
    <x:row r="1317">
      <x:c r="A1317" s="1"/>
      <x:c r="B1317" s="1"/>
      <x:c r="C1317" s="1"/>
      <x:c r="D1317" s="1"/>
      <x:c r="E1317" s="1"/>
      <x:c r="F1317" s="1"/>
    </x:row>
    <x:row r="1318">
      <x:c r="A1318" s="1"/>
      <x:c r="B1318" s="1"/>
      <x:c r="C1318" s="1"/>
      <x:c r="D1318" s="1"/>
      <x:c r="E1318" s="1"/>
      <x:c r="F1318" s="1"/>
    </x:row>
    <x:row r="1319">
      <x:c r="A1319" s="1"/>
      <x:c r="B1319" s="1"/>
      <x:c r="C1319" s="1"/>
      <x:c r="D1319" s="1"/>
      <x:c r="E1319" s="1"/>
      <x:c r="F1319" s="1"/>
    </x:row>
    <x:row r="1320">
      <x:c r="A1320" s="1"/>
      <x:c r="B1320" s="1"/>
      <x:c r="C1320" s="1"/>
      <x:c r="D1320" s="1"/>
      <x:c r="E1320" s="1"/>
      <x:c r="F1320" s="1"/>
    </x:row>
    <x:row r="1321">
      <x:c r="A1321" s="1"/>
      <x:c r="B1321" s="1"/>
      <x:c r="C1321" s="1"/>
      <x:c r="D1321" s="1"/>
      <x:c r="E1321" s="1"/>
      <x:c r="F1321" s="1"/>
    </x:row>
    <x:row r="1322">
      <x:c r="A1322" s="1"/>
      <x:c r="B1322" s="1"/>
      <x:c r="C1322" s="1"/>
      <x:c r="D1322" s="1"/>
      <x:c r="E1322" s="1"/>
      <x:c r="F1322" s="1"/>
    </x:row>
    <x:row r="1323">
      <x:c r="A1323" s="1"/>
      <x:c r="B1323" s="1"/>
      <x:c r="C1323" s="1"/>
      <x:c r="D1323" s="1"/>
      <x:c r="E1323" s="1"/>
      <x:c r="F1323" s="1"/>
    </x:row>
    <x:row r="1324">
      <x:c r="A1324" s="1"/>
      <x:c r="B1324" s="1"/>
      <x:c r="C1324" s="1"/>
      <x:c r="D1324" s="1"/>
      <x:c r="E1324" s="1"/>
      <x:c r="F1324" s="1"/>
    </x:row>
    <x:row r="1325">
      <x:c r="A1325" s="1"/>
      <x:c r="B1325" s="1"/>
      <x:c r="C1325" s="1"/>
      <x:c r="D1325" s="1"/>
      <x:c r="E1325" s="1"/>
      <x:c r="F1325" s="1"/>
    </x:row>
    <x:row r="1326">
      <x:c r="A1326" s="1"/>
      <x:c r="B1326" s="1"/>
      <x:c r="C1326" s="1"/>
      <x:c r="D1326" s="1"/>
      <x:c r="E1326" s="1"/>
      <x:c r="F1326" s="1"/>
    </x:row>
    <x:row r="1327">
      <x:c r="A1327" s="1"/>
      <x:c r="B1327" s="1"/>
      <x:c r="C1327" s="1"/>
      <x:c r="D1327" s="1"/>
      <x:c r="E1327" s="1"/>
      <x:c r="F1327" s="1"/>
    </x:row>
    <x:row r="1328">
      <x:c r="A1328" s="1"/>
      <x:c r="B1328" s="1"/>
      <x:c r="C1328" s="1"/>
      <x:c r="D1328" s="1"/>
      <x:c r="E1328" s="1"/>
      <x:c r="F1328" s="1"/>
    </x:row>
    <x:row r="1329">
      <x:c r="A1329" s="1"/>
      <x:c r="B1329" s="1"/>
      <x:c r="C1329" s="1"/>
      <x:c r="D1329" s="1"/>
      <x:c r="E1329" s="1"/>
      <x:c r="F1329" s="1"/>
    </x:row>
    <x:row r="1330">
      <x:c r="A1330" s="1"/>
      <x:c r="B1330" s="1"/>
      <x:c r="C1330" s="1"/>
      <x:c r="D1330" s="1"/>
      <x:c r="E1330" s="1"/>
      <x:c r="F1330" s="1"/>
    </x:row>
    <x:row r="1331">
      <x:c r="A1331" s="1"/>
      <x:c r="B1331" s="1"/>
      <x:c r="C1331" s="1"/>
      <x:c r="D1331" s="1"/>
      <x:c r="E1331" s="1"/>
      <x:c r="F1331" s="1"/>
    </x:row>
    <x:row r="1332">
      <x:c r="A1332" s="1"/>
      <x:c r="B1332" s="1"/>
      <x:c r="C1332" s="1"/>
      <x:c r="D1332" s="1"/>
      <x:c r="E1332" s="1"/>
      <x:c r="F1332" s="1"/>
    </x:row>
    <x:row r="1333">
      <x:c r="A1333" s="1"/>
      <x:c r="B1333" s="1"/>
      <x:c r="C1333" s="1"/>
      <x:c r="D1333" s="1"/>
      <x:c r="E1333" s="1"/>
      <x:c r="F1333" s="1"/>
    </x:row>
    <x:row r="1334">
      <x:c r="A1334" s="1"/>
      <x:c r="B1334" s="1"/>
      <x:c r="C1334" s="1"/>
      <x:c r="D1334" s="1"/>
      <x:c r="E1334" s="1"/>
      <x:c r="F1334" s="1"/>
    </x:row>
    <x:row r="1335">
      <x:c r="A1335" s="1"/>
      <x:c r="B1335" s="1"/>
      <x:c r="C1335" s="1"/>
      <x:c r="D1335" s="1"/>
      <x:c r="E1335" s="1"/>
      <x:c r="F1335" s="1"/>
    </x:row>
    <x:row r="1336">
      <x:c r="A1336" s="1"/>
      <x:c r="B1336" s="1"/>
      <x:c r="C1336" s="1"/>
      <x:c r="D1336" s="1"/>
      <x:c r="E1336" s="1"/>
      <x:c r="F1336" s="1"/>
    </x:row>
    <x:row r="1337">
      <x:c r="A1337" s="1"/>
      <x:c r="B1337" s="1"/>
      <x:c r="C1337" s="1"/>
      <x:c r="D1337" s="1"/>
      <x:c r="E1337" s="1"/>
      <x:c r="F1337" s="1"/>
    </x:row>
    <x:row r="1338">
      <x:c r="A1338" s="1"/>
      <x:c r="B1338" s="1"/>
      <x:c r="C1338" s="1"/>
      <x:c r="D1338" s="1"/>
      <x:c r="E1338" s="1"/>
      <x:c r="F1338" s="1"/>
    </x:row>
    <x:row r="1339">
      <x:c r="A1339" s="1"/>
      <x:c r="B1339" s="1"/>
      <x:c r="C1339" s="1"/>
      <x:c r="D1339" s="1"/>
      <x:c r="E1339" s="1"/>
      <x:c r="F1339" s="1"/>
    </x:row>
    <x:row r="1340">
      <x:c r="A1340" s="1"/>
      <x:c r="B1340" s="1"/>
      <x:c r="C1340" s="1"/>
      <x:c r="D1340" s="1"/>
      <x:c r="E1340" s="1"/>
      <x:c r="F1340" s="1"/>
    </x:row>
    <x:row r="1341">
      <x:c r="A1341" s="1"/>
      <x:c r="B1341" s="1"/>
      <x:c r="C1341" s="1"/>
      <x:c r="D1341" s="1"/>
      <x:c r="E1341" s="1"/>
      <x:c r="F1341" s="1"/>
    </x:row>
    <x:row r="1342">
      <x:c r="A1342" s="1"/>
      <x:c r="B1342" s="1"/>
      <x:c r="C1342" s="1"/>
      <x:c r="D1342" s="1"/>
      <x:c r="E1342" s="1"/>
      <x:c r="F1342" s="1"/>
    </x:row>
    <x:row r="1343">
      <x:c r="A1343" s="1"/>
      <x:c r="B1343" s="1"/>
      <x:c r="C1343" s="1"/>
      <x:c r="D1343" s="1"/>
      <x:c r="E1343" s="1"/>
      <x:c r="F1343" s="1"/>
    </x:row>
    <x:row r="1344">
      <x:c r="A1344" s="1"/>
      <x:c r="B1344" s="1"/>
      <x:c r="C1344" s="1"/>
      <x:c r="D1344" s="1"/>
      <x:c r="E1344" s="1"/>
      <x:c r="F1344" s="1"/>
    </x:row>
    <x:row r="1345">
      <x:c r="A1345" s="1"/>
      <x:c r="B1345" s="1"/>
      <x:c r="C1345" s="1"/>
      <x:c r="D1345" s="1"/>
      <x:c r="E1345" s="1"/>
      <x:c r="F1345" s="1"/>
    </x:row>
    <x:row r="1346">
      <x:c r="A1346" s="1"/>
      <x:c r="B1346" s="1"/>
      <x:c r="C1346" s="1"/>
      <x:c r="D1346" s="1"/>
      <x:c r="E1346" s="1"/>
      <x:c r="F1346" s="1"/>
    </x:row>
    <x:row r="1347">
      <x:c r="A1347" s="1"/>
      <x:c r="B1347" s="1"/>
      <x:c r="C1347" s="1"/>
      <x:c r="D1347" s="1"/>
      <x:c r="E1347" s="1"/>
      <x:c r="F1347" s="1"/>
    </x:row>
    <x:row r="1348">
      <x:c r="A1348" s="1"/>
      <x:c r="B1348" s="1"/>
      <x:c r="C1348" s="1"/>
      <x:c r="D1348" s="1"/>
      <x:c r="E1348" s="1"/>
      <x:c r="F1348" s="1"/>
    </x:row>
    <x:row r="1349">
      <x:c r="A1349" s="1"/>
      <x:c r="B1349" s="1"/>
      <x:c r="C1349" s="1"/>
      <x:c r="D1349" s="1"/>
      <x:c r="E1349" s="1"/>
      <x:c r="F1349" s="1"/>
    </x:row>
    <x:row r="1350">
      <x:c r="A1350" s="1"/>
      <x:c r="B1350" s="1"/>
      <x:c r="C1350" s="1"/>
      <x:c r="D1350" s="1"/>
      <x:c r="E1350" s="1"/>
      <x:c r="F1350" s="1"/>
    </x:row>
    <x:row r="1351">
      <x:c r="A1351" s="1"/>
      <x:c r="B1351" s="1"/>
      <x:c r="C1351" s="1"/>
      <x:c r="D1351" s="1"/>
      <x:c r="E1351" s="1"/>
      <x:c r="F1351" s="1"/>
    </x:row>
    <x:row r="1352">
      <x:c r="A1352" s="1"/>
      <x:c r="B1352" s="1"/>
      <x:c r="C1352" s="1"/>
      <x:c r="D1352" s="1"/>
      <x:c r="E1352" s="1"/>
      <x:c r="F1352" s="1"/>
    </x:row>
    <x:row r="1353">
      <x:c r="A1353" s="1"/>
      <x:c r="B1353" s="1"/>
      <x:c r="C1353" s="1"/>
      <x:c r="D1353" s="1"/>
      <x:c r="E1353" s="1"/>
      <x:c r="F1353" s="1"/>
    </x:row>
    <x:row r="1354">
      <x:c r="A1354" s="1"/>
      <x:c r="B1354" s="1"/>
      <x:c r="C1354" s="1"/>
      <x:c r="D1354" s="1"/>
      <x:c r="E1354" s="1"/>
      <x:c r="F1354" s="1"/>
    </x:row>
    <x:row r="1355">
      <x:c r="A1355" s="1"/>
      <x:c r="B1355" s="1"/>
      <x:c r="C1355" s="1"/>
      <x:c r="D1355" s="1"/>
      <x:c r="E1355" s="1"/>
      <x:c r="F1355" s="1"/>
    </x:row>
    <x:row r="1356">
      <x:c r="A1356" s="1"/>
      <x:c r="B1356" s="1"/>
      <x:c r="C1356" s="1"/>
      <x:c r="D1356" s="1"/>
      <x:c r="E1356" s="1"/>
      <x:c r="F1356" s="1"/>
    </x:row>
    <x:row r="1357">
      <x:c r="A1357" s="1"/>
      <x:c r="B1357" s="1"/>
      <x:c r="C1357" s="1"/>
      <x:c r="D1357" s="1"/>
      <x:c r="E1357" s="1"/>
      <x:c r="F1357" s="1"/>
    </x:row>
    <x:row r="1358">
      <x:c r="A1358" s="1"/>
      <x:c r="B1358" s="1"/>
      <x:c r="C1358" s="1"/>
      <x:c r="D1358" s="1"/>
      <x:c r="E1358" s="1"/>
      <x:c r="F1358" s="1"/>
    </x:row>
    <x:row r="1359">
      <x:c r="A1359" s="1"/>
      <x:c r="B1359" s="1"/>
      <x:c r="C1359" s="1"/>
      <x:c r="D1359" s="1"/>
      <x:c r="E1359" s="1"/>
      <x:c r="F1359" s="1"/>
    </x:row>
    <x:row r="1360">
      <x:c r="A1360" s="1"/>
      <x:c r="B1360" s="1"/>
      <x:c r="C1360" s="1"/>
      <x:c r="D1360" s="1"/>
      <x:c r="E1360" s="1"/>
      <x:c r="F1360" s="1"/>
    </x:row>
    <x:row r="1361">
      <x:c r="A1361" s="1"/>
      <x:c r="B1361" s="1"/>
      <x:c r="C1361" s="1"/>
      <x:c r="D1361" s="1"/>
      <x:c r="E1361" s="1"/>
      <x:c r="F1361" s="1"/>
    </x:row>
    <x:row r="1362">
      <x:c r="A1362" s="1"/>
      <x:c r="B1362" s="1"/>
      <x:c r="C1362" s="1"/>
      <x:c r="D1362" s="1"/>
      <x:c r="E1362" s="1"/>
      <x:c r="F1362" s="1"/>
    </x:row>
    <x:row r="1363">
      <x:c r="A1363" s="1"/>
      <x:c r="B1363" s="1"/>
      <x:c r="C1363" s="1"/>
      <x:c r="D1363" s="1"/>
      <x:c r="E1363" s="1"/>
      <x:c r="F1363" s="1"/>
    </x:row>
    <x:row r="1364">
      <x:c r="A1364" s="1"/>
      <x:c r="B1364" s="1"/>
      <x:c r="C1364" s="1"/>
      <x:c r="D1364" s="1"/>
      <x:c r="E1364" s="1"/>
      <x:c r="F1364" s="1"/>
    </x:row>
    <x:row r="1365">
      <x:c r="A1365" s="1"/>
      <x:c r="B1365" s="1"/>
      <x:c r="C1365" s="1"/>
      <x:c r="D1365" s="1"/>
      <x:c r="E1365" s="1"/>
      <x:c r="F1365" s="1"/>
    </x:row>
    <x:row r="1366">
      <x:c r="A1366" s="1"/>
      <x:c r="B1366" s="1"/>
      <x:c r="C1366" s="1"/>
      <x:c r="D1366" s="1"/>
      <x:c r="E1366" s="1"/>
      <x:c r="F1366" s="1"/>
    </x:row>
    <x:row r="1367">
      <x:c r="A1367" s="1"/>
      <x:c r="B1367" s="1"/>
      <x:c r="C1367" s="1"/>
      <x:c r="D1367" s="1"/>
      <x:c r="E1367" s="1"/>
      <x:c r="F1367" s="1"/>
    </x:row>
    <x:row r="1368">
      <x:c r="A1368" s="1"/>
      <x:c r="B1368" s="1"/>
      <x:c r="C1368" s="1"/>
      <x:c r="D1368" s="1"/>
      <x:c r="E1368" s="1"/>
      <x:c r="F1368" s="1"/>
    </x:row>
    <x:row r="1369">
      <x:c r="A1369" s="1"/>
      <x:c r="B1369" s="1"/>
      <x:c r="C1369" s="1"/>
      <x:c r="D1369" s="1"/>
      <x:c r="E1369" s="1"/>
      <x:c r="F1369" s="1"/>
    </x:row>
    <x:row r="1370">
      <x:c r="A1370" s="1"/>
      <x:c r="B1370" s="1"/>
      <x:c r="C1370" s="1"/>
      <x:c r="D1370" s="1"/>
      <x:c r="E1370" s="1"/>
      <x:c r="F1370" s="1"/>
    </x:row>
    <x:row r="1371">
      <x:c r="A1371" s="1"/>
      <x:c r="B1371" s="1"/>
      <x:c r="C1371" s="1"/>
      <x:c r="D1371" s="1"/>
      <x:c r="E1371" s="1"/>
      <x:c r="F1371" s="1"/>
    </x:row>
    <x:row r="1372">
      <x:c r="A1372" s="1"/>
      <x:c r="B1372" s="1"/>
      <x:c r="C1372" s="1"/>
      <x:c r="D1372" s="1"/>
      <x:c r="E1372" s="1"/>
      <x:c r="F1372" s="1"/>
    </x:row>
    <x:row r="1373">
      <x:c r="A1373" s="1"/>
      <x:c r="B1373" s="1"/>
      <x:c r="C1373" s="1"/>
      <x:c r="D1373" s="1"/>
      <x:c r="E1373" s="1"/>
      <x:c r="F1373" s="1"/>
    </x:row>
    <x:row r="1374">
      <x:c r="A1374" s="1"/>
      <x:c r="B1374" s="1"/>
      <x:c r="C1374" s="1"/>
      <x:c r="D1374" s="1"/>
      <x:c r="E1374" s="1"/>
      <x:c r="F1374" s="1"/>
    </x:row>
    <x:row r="1375">
      <x:c r="A1375" s="1"/>
      <x:c r="B1375" s="1"/>
      <x:c r="C1375" s="1"/>
      <x:c r="D1375" s="1"/>
      <x:c r="E1375" s="1"/>
      <x:c r="F1375" s="1"/>
    </x:row>
    <x:row r="1376">
      <x:c r="A1376" s="1"/>
      <x:c r="B1376" s="1"/>
      <x:c r="C1376" s="1"/>
      <x:c r="D1376" s="1"/>
      <x:c r="E1376" s="1"/>
      <x:c r="F1376" s="1"/>
    </x:row>
    <x:row r="1377">
      <x:c r="A1377" s="1"/>
      <x:c r="B1377" s="1"/>
      <x:c r="C1377" s="1"/>
      <x:c r="D1377" s="1"/>
      <x:c r="E1377" s="1"/>
      <x:c r="F1377" s="1"/>
    </x:row>
    <x:row r="1378">
      <x:c r="A1378" s="1"/>
      <x:c r="B1378" s="1"/>
      <x:c r="C1378" s="1"/>
      <x:c r="D1378" s="1"/>
      <x:c r="E1378" s="1"/>
      <x:c r="F1378" s="1"/>
    </x:row>
    <x:row r="1379">
      <x:c r="A1379" s="1"/>
      <x:c r="B1379" s="1"/>
      <x:c r="C1379" s="1"/>
      <x:c r="D1379" s="1"/>
      <x:c r="E1379" s="1"/>
      <x:c r="F1379" s="1"/>
    </x:row>
    <x:row r="1380">
      <x:c r="A1380" s="1"/>
      <x:c r="B1380" s="1"/>
      <x:c r="C1380" s="1"/>
      <x:c r="D1380" s="1"/>
      <x:c r="E1380" s="1"/>
      <x:c r="F1380" s="1"/>
    </x:row>
    <x:row r="1381">
      <x:c r="A1381" s="1"/>
      <x:c r="B1381" s="1"/>
      <x:c r="C1381" s="1"/>
      <x:c r="D1381" s="1"/>
      <x:c r="E1381" s="1"/>
      <x:c r="F1381" s="1"/>
    </x:row>
    <x:row r="1382">
      <x:c r="A1382" s="1"/>
      <x:c r="B1382" s="1"/>
      <x:c r="C1382" s="1"/>
      <x:c r="D1382" s="1"/>
      <x:c r="E1382" s="1"/>
      <x:c r="F1382" s="1"/>
    </x:row>
    <x:row r="1383">
      <x:c r="A1383" s="1"/>
      <x:c r="B1383" s="1"/>
      <x:c r="C1383" s="1"/>
      <x:c r="D1383" s="1"/>
      <x:c r="E1383" s="1"/>
      <x:c r="F1383" s="1"/>
    </x:row>
    <x:row r="1384">
      <x:c r="A1384" s="1"/>
      <x:c r="B1384" s="1"/>
      <x:c r="C1384" s="1"/>
      <x:c r="D1384" s="1"/>
      <x:c r="E1384" s="1"/>
      <x:c r="F1384" s="1"/>
    </x:row>
    <x:row r="1385">
      <x:c r="A1385" s="1"/>
      <x:c r="B1385" s="1"/>
      <x:c r="C1385" s="1"/>
      <x:c r="D1385" s="1"/>
      <x:c r="E1385" s="1"/>
      <x:c r="F1385" s="1"/>
    </x:row>
    <x:row r="1386">
      <x:c r="A1386" s="1"/>
      <x:c r="B1386" s="1"/>
      <x:c r="C1386" s="1"/>
      <x:c r="D1386" s="1"/>
      <x:c r="E1386" s="1"/>
      <x:c r="F1386" s="1"/>
    </x:row>
    <x:row r="1387">
      <x:c r="A1387" s="1"/>
      <x:c r="B1387" s="1"/>
      <x:c r="C1387" s="1"/>
      <x:c r="D1387" s="1"/>
      <x:c r="E1387" s="1"/>
      <x:c r="F1387" s="1"/>
    </x:row>
    <x:row r="1388">
      <x:c r="A1388" s="1"/>
      <x:c r="B1388" s="1"/>
      <x:c r="C1388" s="1"/>
      <x:c r="D1388" s="1"/>
      <x:c r="E1388" s="1"/>
      <x:c r="F1388" s="1"/>
    </x:row>
    <x:row r="1389">
      <x:c r="A1389" s="1"/>
      <x:c r="B1389" s="1"/>
      <x:c r="C1389" s="1"/>
      <x:c r="D1389" s="1"/>
      <x:c r="E1389" s="1"/>
      <x:c r="F1389" s="1"/>
    </x:row>
    <x:row r="1390">
      <x:c r="A1390" s="1"/>
      <x:c r="B1390" s="1"/>
      <x:c r="C1390" s="1"/>
      <x:c r="D1390" s="1"/>
      <x:c r="E1390" s="1"/>
      <x:c r="F1390" s="1"/>
    </x:row>
    <x:row r="1391">
      <x:c r="A1391" s="1"/>
      <x:c r="B1391" s="1"/>
      <x:c r="C1391" s="1"/>
      <x:c r="D1391" s="1"/>
      <x:c r="E1391" s="1"/>
      <x:c r="F1391" s="1"/>
    </x:row>
    <x:row r="1392">
      <x:c r="A1392" s="1"/>
      <x:c r="B1392" s="1"/>
      <x:c r="C1392" s="1"/>
      <x:c r="D1392" s="1"/>
      <x:c r="E1392" s="1"/>
      <x:c r="F1392" s="1"/>
    </x:row>
    <x:row r="1393">
      <x:c r="A1393" s="1"/>
      <x:c r="B1393" s="1"/>
      <x:c r="C1393" s="1"/>
      <x:c r="D1393" s="1"/>
      <x:c r="E1393" s="1"/>
      <x:c r="F1393" s="1"/>
    </x:row>
    <x:row r="1394">
      <x:c r="A1394" s="1"/>
      <x:c r="B1394" s="1"/>
      <x:c r="C1394" s="1"/>
      <x:c r="D1394" s="1"/>
      <x:c r="E1394" s="1"/>
      <x:c r="F1394" s="1"/>
    </x:row>
    <x:row r="1395">
      <x:c r="A1395" s="1"/>
      <x:c r="B1395" s="1"/>
      <x:c r="C1395" s="1"/>
      <x:c r="D1395" s="1"/>
      <x:c r="E1395" s="1"/>
      <x:c r="F1395" s="1"/>
    </x:row>
    <x:row r="1396">
      <x:c r="A1396" s="1"/>
      <x:c r="B1396" s="1"/>
      <x:c r="C1396" s="1"/>
      <x:c r="D1396" s="1"/>
      <x:c r="E1396" s="1"/>
      <x:c r="F1396" s="1"/>
    </x:row>
    <x:row r="1397">
      <x:c r="A1397" s="1"/>
      <x:c r="B1397" s="1"/>
      <x:c r="C1397" s="1"/>
      <x:c r="D1397" s="1"/>
      <x:c r="E1397" s="1"/>
      <x:c r="F1397" s="1"/>
    </x:row>
    <x:row r="1398">
      <x:c r="A1398" s="1"/>
      <x:c r="B1398" s="1"/>
      <x:c r="C1398" s="1"/>
      <x:c r="D1398" s="1"/>
      <x:c r="E1398" s="1"/>
      <x:c r="F1398" s="1"/>
    </x:row>
    <x:row r="1399">
      <x:c r="A1399" s="1"/>
      <x:c r="B1399" s="1"/>
      <x:c r="C1399" s="1"/>
      <x:c r="D1399" s="1"/>
      <x:c r="E1399" s="1"/>
      <x:c r="F1399" s="1"/>
    </x:row>
    <x:row r="1400">
      <x:c r="A1400" s="1"/>
      <x:c r="B1400" s="1"/>
      <x:c r="C1400" s="1"/>
      <x:c r="D1400" s="1"/>
      <x:c r="E1400" s="1"/>
      <x:c r="F1400" s="1"/>
    </x:row>
    <x:row r="1401">
      <x:c r="A1401" s="1"/>
      <x:c r="B1401" s="1"/>
      <x:c r="C1401" s="1"/>
      <x:c r="D1401" s="1"/>
      <x:c r="E1401" s="1"/>
      <x:c r="F1401" s="1"/>
    </x:row>
    <x:row r="1402">
      <x:c r="A1402" s="1"/>
      <x:c r="B1402" s="1"/>
      <x:c r="C1402" s="1"/>
      <x:c r="D1402" s="1"/>
      <x:c r="E1402" s="1"/>
      <x:c r="F1402" s="1"/>
    </x:row>
    <x:row r="1403">
      <x:c r="A1403" s="1"/>
      <x:c r="B1403" s="1"/>
      <x:c r="C1403" s="1"/>
      <x:c r="D1403" s="1"/>
      <x:c r="E1403" s="1"/>
      <x:c r="F1403" s="1"/>
    </x:row>
    <x:row r="1404">
      <x:c r="A1404" s="1"/>
      <x:c r="B1404" s="1"/>
      <x:c r="C1404" s="1"/>
      <x:c r="D1404" s="1"/>
      <x:c r="E1404" s="1"/>
      <x:c r="F1404" s="1"/>
    </x:row>
    <x:row r="1405">
      <x:c r="A1405" s="1"/>
      <x:c r="B1405" s="1"/>
      <x:c r="C1405" s="1"/>
      <x:c r="D1405" s="1"/>
      <x:c r="E1405" s="1"/>
      <x:c r="F1405" s="1"/>
    </x:row>
    <x:row r="1406">
      <x:c r="A1406" s="1"/>
      <x:c r="B1406" s="1"/>
      <x:c r="C1406" s="1"/>
      <x:c r="D1406" s="1"/>
      <x:c r="E1406" s="1"/>
      <x:c r="F1406" s="1"/>
    </x:row>
    <x:row r="1407">
      <x:c r="A1407" s="1"/>
      <x:c r="B1407" s="1"/>
      <x:c r="C1407" s="1"/>
      <x:c r="D1407" s="1"/>
      <x:c r="E1407" s="1"/>
      <x:c r="F1407" s="1"/>
    </x:row>
    <x:row r="1408">
      <x:c r="A1408" s="1"/>
      <x:c r="B1408" s="1"/>
      <x:c r="C1408" s="1"/>
      <x:c r="D1408" s="1"/>
      <x:c r="E1408" s="1"/>
      <x:c r="F1408" s="1"/>
    </x:row>
    <x:row r="1409">
      <x:c r="A1409" s="1"/>
      <x:c r="B1409" s="1"/>
      <x:c r="C1409" s="1"/>
      <x:c r="D1409" s="1"/>
      <x:c r="E1409" s="1"/>
      <x:c r="F1409" s="1"/>
    </x:row>
    <x:row r="1410">
      <x:c r="A1410" s="1"/>
      <x:c r="B1410" s="1"/>
      <x:c r="C1410" s="1"/>
      <x:c r="D1410" s="1"/>
      <x:c r="E1410" s="1"/>
      <x:c r="F1410" s="1"/>
    </x:row>
    <x:row r="1411">
      <x:c r="A1411" s="1"/>
      <x:c r="B1411" s="1"/>
      <x:c r="C1411" s="1"/>
      <x:c r="D1411" s="1"/>
      <x:c r="E1411" s="1"/>
      <x:c r="F1411" s="1"/>
    </x:row>
    <x:row r="1412">
      <x:c r="A1412" s="1"/>
      <x:c r="B1412" s="1"/>
      <x:c r="C1412" s="1"/>
      <x:c r="D1412" s="1"/>
      <x:c r="E1412" s="1"/>
      <x:c r="F1412" s="1"/>
    </x:row>
    <x:row r="1413">
      <x:c r="A1413" s="1"/>
      <x:c r="B1413" s="1"/>
      <x:c r="C1413" s="1"/>
      <x:c r="D1413" s="1"/>
      <x:c r="E1413" s="1"/>
      <x:c r="F1413" s="1"/>
    </x:row>
    <x:row r="1414">
      <x:c r="A1414" s="1"/>
      <x:c r="B1414" s="1"/>
      <x:c r="C1414" s="1"/>
      <x:c r="D1414" s="1"/>
      <x:c r="E1414" s="1"/>
      <x:c r="F1414" s="1"/>
    </x:row>
    <x:row r="1415">
      <x:c r="A1415" s="1"/>
      <x:c r="B1415" s="1"/>
      <x:c r="C1415" s="1"/>
      <x:c r="D1415" s="1"/>
      <x:c r="E1415" s="1"/>
      <x:c r="F1415" s="1"/>
    </x:row>
    <x:row r="1416">
      <x:c r="A1416" s="1"/>
      <x:c r="B1416" s="1"/>
      <x:c r="C1416" s="1"/>
      <x:c r="D1416" s="1"/>
      <x:c r="E1416" s="1"/>
      <x:c r="F1416" s="1"/>
    </x:row>
    <x:row r="1417">
      <x:c r="A1417" s="1"/>
      <x:c r="B1417" s="1"/>
      <x:c r="C1417" s="1"/>
      <x:c r="D1417" s="1"/>
      <x:c r="E1417" s="1"/>
      <x:c r="F1417" s="1"/>
    </x:row>
    <x:row r="1418">
      <x:c r="A1418" s="1"/>
      <x:c r="B1418" s="1"/>
      <x:c r="C1418" s="1"/>
      <x:c r="D1418" s="1"/>
      <x:c r="E1418" s="1"/>
      <x:c r="F1418" s="1"/>
    </x:row>
    <x:row r="1419">
      <x:c r="A1419" s="1"/>
      <x:c r="B1419" s="1"/>
      <x:c r="C1419" s="1"/>
      <x:c r="D1419" s="1"/>
      <x:c r="E1419" s="1"/>
      <x:c r="F1419" s="1"/>
    </x:row>
    <x:row r="1420">
      <x:c r="A1420" s="1"/>
      <x:c r="B1420" s="1"/>
      <x:c r="C1420" s="1"/>
      <x:c r="D1420" s="1"/>
      <x:c r="E1420" s="1"/>
      <x:c r="F1420" s="1"/>
    </x:row>
    <x:row r="1421">
      <x:c r="A1421" s="1"/>
      <x:c r="B1421" s="1"/>
      <x:c r="C1421" s="1"/>
      <x:c r="D1421" s="1"/>
      <x:c r="E1421" s="1"/>
      <x:c r="F1421" s="1"/>
    </x:row>
    <x:row r="1422">
      <x:c r="A1422" s="1"/>
      <x:c r="B1422" s="1"/>
      <x:c r="C1422" s="1"/>
      <x:c r="D1422" s="1"/>
      <x:c r="E1422" s="1"/>
      <x:c r="F1422" s="1"/>
    </x:row>
    <x:row r="1423">
      <x:c r="A1423" s="1"/>
      <x:c r="B1423" s="1"/>
      <x:c r="C1423" s="1"/>
      <x:c r="D1423" s="1"/>
      <x:c r="E1423" s="1"/>
      <x:c r="F1423" s="1"/>
    </x:row>
    <x:row r="1424">
      <x:c r="A1424" s="1"/>
      <x:c r="B1424" s="1"/>
      <x:c r="C1424" s="1"/>
      <x:c r="D1424" s="1"/>
      <x:c r="E1424" s="1"/>
      <x:c r="F1424" s="1"/>
    </x:row>
    <x:row r="1425">
      <x:c r="A1425" s="1"/>
      <x:c r="B1425" s="1"/>
      <x:c r="C1425" s="1"/>
      <x:c r="D1425" s="1"/>
      <x:c r="E1425" s="1"/>
      <x:c r="F1425" s="1"/>
    </x:row>
    <x:row r="1426">
      <x:c r="A1426" s="1"/>
      <x:c r="B1426" s="1"/>
      <x:c r="C1426" s="1"/>
      <x:c r="D1426" s="1"/>
      <x:c r="E1426" s="1"/>
      <x:c r="F1426" s="1"/>
    </x:row>
    <x:row r="1427">
      <x:c r="A1427" s="1"/>
      <x:c r="B1427" s="1"/>
      <x:c r="C1427" s="1"/>
      <x:c r="D1427" s="1"/>
      <x:c r="E1427" s="1"/>
      <x:c r="F1427" s="1"/>
    </x:row>
    <x:row r="1428">
      <x:c r="A1428" s="1"/>
      <x:c r="B1428" s="1"/>
      <x:c r="C1428" s="1"/>
      <x:c r="D1428" s="1"/>
      <x:c r="E1428" s="1"/>
      <x:c r="F1428" s="1"/>
    </x:row>
    <x:row r="1429">
      <x:c r="A1429" s="1"/>
      <x:c r="B1429" s="1"/>
      <x:c r="C1429" s="1"/>
      <x:c r="D1429" s="1"/>
      <x:c r="E1429" s="1"/>
      <x:c r="F1429" s="1"/>
    </x:row>
    <x:row r="1430">
      <x:c r="A1430" s="1"/>
      <x:c r="B1430" s="1"/>
      <x:c r="C1430" s="1"/>
      <x:c r="D1430" s="1"/>
      <x:c r="E1430" s="1"/>
      <x:c r="F1430" s="1"/>
    </x:row>
    <x:row r="1431">
      <x:c r="A1431" s="1"/>
      <x:c r="B1431" s="1"/>
      <x:c r="C1431" s="1"/>
      <x:c r="D1431" s="1"/>
      <x:c r="E1431" s="1"/>
      <x:c r="F1431" s="1"/>
    </x:row>
    <x:row r="1432">
      <x:c r="A1432" s="1"/>
      <x:c r="B1432" s="1"/>
      <x:c r="C1432" s="1"/>
      <x:c r="D1432" s="1"/>
      <x:c r="E1432" s="1"/>
      <x:c r="F1432" s="1"/>
    </x:row>
    <x:row r="1433">
      <x:c r="A1433" s="1"/>
      <x:c r="B1433" s="1"/>
      <x:c r="C1433" s="1"/>
      <x:c r="D1433" s="1"/>
      <x:c r="E1433" s="1"/>
      <x:c r="F1433" s="1"/>
    </x:row>
    <x:row r="1434">
      <x:c r="A1434" s="1"/>
      <x:c r="B1434" s="1"/>
      <x:c r="C1434" s="1"/>
      <x:c r="D1434" s="1"/>
      <x:c r="E1434" s="1"/>
      <x:c r="F1434" s="1"/>
    </x:row>
    <x:row r="1435">
      <x:c r="A1435" s="1"/>
      <x:c r="B1435" s="1"/>
      <x:c r="C1435" s="1"/>
      <x:c r="D1435" s="1"/>
      <x:c r="E1435" s="1"/>
      <x:c r="F1435" s="1"/>
    </x:row>
    <x:row r="1436">
      <x:c r="A1436" s="1"/>
      <x:c r="B1436" s="1"/>
      <x:c r="C1436" s="1"/>
      <x:c r="D1436" s="1"/>
      <x:c r="E1436" s="1"/>
      <x:c r="F1436" s="1"/>
    </x:row>
    <x:row r="1437">
      <x:c r="A1437" s="1"/>
      <x:c r="B1437" s="1"/>
      <x:c r="C1437" s="1"/>
      <x:c r="D1437" s="1"/>
      <x:c r="E1437" s="1"/>
      <x:c r="F1437" s="1"/>
    </x:row>
    <x:row r="1438">
      <x:c r="A1438" s="1"/>
      <x:c r="B1438" s="1"/>
      <x:c r="C1438" s="1"/>
      <x:c r="D1438" s="1"/>
      <x:c r="E1438" s="1"/>
      <x:c r="F1438" s="1"/>
    </x:row>
    <x:row r="1439">
      <x:c r="A1439" s="1"/>
      <x:c r="B1439" s="1"/>
      <x:c r="C1439" s="1"/>
      <x:c r="D1439" s="1"/>
      <x:c r="E1439" s="1"/>
      <x:c r="F1439" s="1"/>
    </x:row>
    <x:row r="1440">
      <x:c r="A1440" s="1"/>
      <x:c r="B1440" s="1"/>
      <x:c r="C1440" s="1"/>
      <x:c r="D1440" s="1"/>
      <x:c r="E1440" s="1"/>
      <x:c r="F1440" s="1"/>
    </x:row>
    <x:row r="1441">
      <x:c r="A1441" s="1"/>
      <x:c r="B1441" s="1"/>
      <x:c r="C1441" s="1"/>
      <x:c r="D1441" s="1"/>
      <x:c r="E1441" s="1"/>
      <x:c r="F1441" s="1"/>
    </x:row>
    <x:row r="1442">
      <x:c r="A1442" s="1"/>
      <x:c r="B1442" s="1"/>
      <x:c r="C1442" s="1"/>
      <x:c r="D1442" s="1"/>
      <x:c r="E1442" s="1"/>
      <x:c r="F1442" s="1"/>
    </x:row>
    <x:row r="1443">
      <x:c r="A1443" s="1"/>
      <x:c r="B1443" s="1"/>
      <x:c r="C1443" s="1"/>
      <x:c r="D1443" s="1"/>
      <x:c r="E1443" s="1"/>
      <x:c r="F1443" s="1"/>
    </x:row>
    <x:row r="1444">
      <x:c r="A1444" s="1"/>
      <x:c r="B1444" s="1"/>
      <x:c r="C1444" s="1"/>
      <x:c r="D1444" s="1"/>
      <x:c r="E1444" s="1"/>
      <x:c r="F1444" s="1"/>
    </x:row>
    <x:row r="1445">
      <x:c r="A1445" s="1"/>
      <x:c r="B1445" s="1"/>
      <x:c r="C1445" s="1"/>
      <x:c r="D1445" s="1"/>
      <x:c r="E1445" s="1"/>
      <x:c r="F1445" s="1"/>
    </x:row>
    <x:row r="1446">
      <x:c r="A1446" s="1"/>
      <x:c r="B1446" s="1"/>
      <x:c r="C1446" s="1"/>
      <x:c r="D1446" s="1"/>
      <x:c r="E1446" s="1"/>
      <x:c r="F1446" s="1"/>
    </x:row>
    <x:row r="1447">
      <x:c r="A1447" s="1"/>
      <x:c r="B1447" s="1"/>
      <x:c r="C1447" s="1"/>
      <x:c r="D1447" s="1"/>
      <x:c r="E1447" s="1"/>
      <x:c r="F1447" s="1"/>
    </x:row>
    <x:row r="1448">
      <x:c r="A1448" s="1"/>
      <x:c r="B1448" s="1"/>
      <x:c r="C1448" s="1"/>
      <x:c r="D1448" s="1"/>
      <x:c r="E1448" s="1"/>
      <x:c r="F1448" s="1"/>
    </x:row>
    <x:row r="1449">
      <x:c r="A1449" s="1"/>
      <x:c r="B1449" s="1"/>
      <x:c r="C1449" s="1"/>
      <x:c r="D1449" s="1"/>
      <x:c r="E1449" s="1"/>
      <x:c r="F1449" s="1"/>
    </x:row>
    <x:row r="1450">
      <x:c r="A1450" s="1"/>
      <x:c r="B1450" s="1"/>
      <x:c r="C1450" s="1"/>
      <x:c r="D1450" s="1"/>
      <x:c r="E1450" s="1"/>
      <x:c r="F1450" s="1"/>
    </x:row>
    <x:row r="1451">
      <x:c r="A1451" s="1"/>
      <x:c r="B1451" s="1"/>
      <x:c r="C1451" s="1"/>
      <x:c r="D1451" s="1"/>
      <x:c r="E1451" s="1"/>
      <x:c r="F1451" s="1"/>
    </x:row>
    <x:row r="1452">
      <x:c r="A1452" s="1"/>
      <x:c r="B1452" s="1"/>
      <x:c r="C1452" s="1"/>
      <x:c r="D1452" s="1"/>
      <x:c r="E1452" s="1"/>
      <x:c r="F1452" s="1"/>
    </x:row>
    <x:row r="1453">
      <x:c r="A1453" s="1"/>
      <x:c r="B1453" s="1"/>
      <x:c r="C1453" s="1"/>
      <x:c r="D1453" s="1"/>
      <x:c r="E1453" s="1"/>
      <x:c r="F1453" s="1"/>
    </x:row>
    <x:row r="1454">
      <x:c r="A1454" s="1"/>
      <x:c r="B1454" s="1"/>
      <x:c r="C1454" s="1"/>
      <x:c r="D1454" s="1"/>
      <x:c r="E1454" s="1"/>
      <x:c r="F1454" s="1"/>
    </x:row>
    <x:row r="1455">
      <x:c r="A1455" s="1"/>
      <x:c r="B1455" s="1"/>
      <x:c r="C1455" s="1"/>
      <x:c r="D1455" s="1"/>
      <x:c r="E1455" s="1"/>
      <x:c r="F1455" s="1"/>
    </x:row>
    <x:row r="1456">
      <x:c r="A1456" s="1"/>
      <x:c r="B1456" s="1"/>
      <x:c r="C1456" s="1"/>
      <x:c r="D1456" s="1"/>
      <x:c r="E1456" s="1"/>
      <x:c r="F1456" s="1"/>
    </x:row>
    <x:row r="1457">
      <x:c r="A1457" s="1"/>
      <x:c r="B1457" s="1"/>
      <x:c r="C1457" s="1"/>
      <x:c r="D1457" s="1"/>
      <x:c r="E1457" s="1"/>
      <x:c r="F1457" s="1"/>
    </x:row>
    <x:row r="1458">
      <x:c r="A1458" s="1"/>
      <x:c r="B1458" s="1"/>
      <x:c r="C1458" s="1"/>
      <x:c r="D1458" s="1"/>
      <x:c r="E1458" s="1"/>
      <x:c r="F1458" s="1"/>
    </x:row>
    <x:row r="1459">
      <x:c r="A1459" s="1"/>
      <x:c r="B1459" s="1"/>
      <x:c r="C1459" s="1"/>
      <x:c r="D1459" s="1"/>
      <x:c r="E1459" s="1"/>
      <x:c r="F1459" s="1"/>
    </x:row>
    <x:row r="1460">
      <x:c r="A1460" s="1"/>
      <x:c r="B1460" s="1"/>
      <x:c r="C1460" s="1"/>
      <x:c r="D1460" s="1"/>
      <x:c r="E1460" s="1"/>
      <x:c r="F1460" s="1"/>
    </x:row>
    <x:row r="1461">
      <x:c r="A1461" s="1"/>
      <x:c r="B1461" s="1"/>
      <x:c r="C1461" s="1"/>
      <x:c r="D1461" s="1"/>
      <x:c r="E1461" s="1"/>
      <x:c r="F1461" s="1"/>
    </x:row>
    <x:row r="1462">
      <x:c r="A1462" s="1"/>
      <x:c r="B1462" s="1"/>
      <x:c r="C1462" s="1"/>
      <x:c r="D1462" s="1"/>
      <x:c r="E1462" s="1"/>
      <x:c r="F1462" s="1"/>
    </x:row>
    <x:row r="1463">
      <x:c r="A1463" s="1"/>
      <x:c r="B1463" s="1"/>
      <x:c r="C1463" s="1"/>
      <x:c r="D1463" s="1"/>
      <x:c r="E1463" s="1"/>
      <x:c r="F1463" s="1"/>
    </x:row>
    <x:row r="1464">
      <x:c r="A1464" s="1"/>
      <x:c r="B1464" s="1"/>
      <x:c r="C1464" s="1"/>
      <x:c r="D1464" s="1"/>
      <x:c r="E1464" s="1"/>
      <x:c r="F1464" s="1"/>
    </x:row>
    <x:row r="1465">
      <x:c r="A1465" s="1"/>
      <x:c r="B1465" s="1"/>
      <x:c r="C1465" s="1"/>
      <x:c r="D1465" s="1"/>
      <x:c r="E1465" s="1"/>
      <x:c r="F1465" s="1"/>
    </x:row>
    <x:row r="1466">
      <x:c r="A1466" s="1"/>
      <x:c r="B1466" s="1"/>
      <x:c r="C1466" s="1"/>
      <x:c r="D1466" s="1"/>
      <x:c r="E1466" s="1"/>
      <x:c r="F1466" s="1"/>
    </x:row>
    <x:row r="1467">
      <x:c r="A1467" s="1"/>
      <x:c r="B1467" s="1"/>
      <x:c r="C1467" s="1"/>
      <x:c r="D1467" s="1"/>
      <x:c r="E1467" s="1"/>
      <x:c r="F1467" s="1"/>
    </x:row>
    <x:row r="1468">
      <x:c r="A1468" s="1"/>
      <x:c r="B1468" s="1"/>
      <x:c r="C1468" s="1"/>
      <x:c r="D1468" s="1"/>
      <x:c r="E1468" s="1"/>
      <x:c r="F1468" s="1"/>
    </x:row>
    <x:row r="1469">
      <x:c r="A1469" s="1"/>
      <x:c r="B1469" s="1"/>
      <x:c r="C1469" s="1"/>
      <x:c r="D1469" s="1"/>
      <x:c r="E1469" s="1"/>
      <x:c r="F1469" s="1"/>
    </x:row>
    <x:row r="1470">
      <x:c r="A1470" s="1"/>
      <x:c r="B1470" s="1"/>
      <x:c r="C1470" s="1"/>
      <x:c r="D1470" s="1"/>
      <x:c r="E1470" s="1"/>
      <x:c r="F1470" s="1"/>
    </x:row>
    <x:row r="1471">
      <x:c r="A1471" s="1"/>
      <x:c r="B1471" s="1"/>
      <x:c r="C1471" s="1"/>
      <x:c r="D1471" s="1"/>
      <x:c r="E1471" s="1"/>
      <x:c r="F1471" s="1"/>
    </x:row>
    <x:row r="1472">
      <x:c r="A1472" s="1"/>
      <x:c r="B1472" s="1"/>
      <x:c r="C1472" s="1"/>
      <x:c r="D1472" s="1"/>
      <x:c r="E1472" s="1"/>
      <x:c r="F1472" s="1"/>
    </x:row>
    <x:row r="1473">
      <x:c r="A1473" s="1"/>
      <x:c r="B1473" s="1"/>
      <x:c r="C1473" s="1"/>
      <x:c r="D1473" s="1"/>
      <x:c r="E1473" s="1"/>
      <x:c r="F1473" s="1"/>
    </x:row>
    <x:row r="1474">
      <x:c r="A1474" s="1"/>
      <x:c r="B1474" s="1"/>
      <x:c r="C1474" s="1"/>
      <x:c r="D1474" s="1"/>
      <x:c r="E1474" s="1"/>
      <x:c r="F1474" s="1"/>
    </x:row>
    <x:row r="1475">
      <x:c r="A1475" s="1"/>
      <x:c r="B1475" s="1"/>
      <x:c r="C1475" s="1"/>
      <x:c r="D1475" s="1"/>
      <x:c r="E1475" s="1"/>
      <x:c r="F1475" s="1"/>
    </x:row>
    <x:row r="1476">
      <x:c r="A1476" s="1"/>
      <x:c r="B1476" s="1"/>
      <x:c r="C1476" s="1"/>
      <x:c r="D1476" s="1"/>
      <x:c r="E1476" s="1"/>
      <x:c r="F1476" s="1"/>
    </x:row>
    <x:row r="1477">
      <x:c r="A1477" s="1"/>
      <x:c r="B1477" s="1"/>
      <x:c r="C1477" s="1"/>
      <x:c r="D1477" s="1"/>
      <x:c r="E1477" s="1"/>
      <x:c r="F1477" s="1"/>
    </x:row>
    <x:row r="1478">
      <x:c r="A1478" s="1"/>
      <x:c r="B1478" s="1"/>
      <x:c r="C1478" s="1"/>
      <x:c r="D1478" s="1"/>
      <x:c r="E1478" s="1"/>
      <x:c r="F1478" s="1"/>
    </x:row>
    <x:row r="1479">
      <x:c r="A1479" s="1"/>
      <x:c r="B1479" s="1"/>
      <x:c r="C1479" s="1"/>
      <x:c r="D1479" s="1"/>
      <x:c r="E1479" s="1"/>
      <x:c r="F1479" s="1"/>
    </x:row>
    <x:row r="1480">
      <x:c r="A1480" s="1"/>
      <x:c r="B1480" s="1"/>
      <x:c r="C1480" s="1"/>
      <x:c r="D1480" s="1"/>
      <x:c r="E1480" s="1"/>
      <x:c r="F1480" s="1"/>
    </x:row>
    <x:row r="1481">
      <x:c r="A1481" s="1"/>
      <x:c r="B1481" s="1"/>
      <x:c r="C1481" s="1"/>
      <x:c r="D1481" s="1"/>
      <x:c r="E1481" s="1"/>
      <x:c r="F1481" s="1"/>
    </x:row>
    <x:row r="1482">
      <x:c r="A1482" s="1"/>
      <x:c r="B1482" s="1"/>
      <x:c r="C1482" s="1"/>
      <x:c r="D1482" s="1"/>
      <x:c r="E1482" s="1"/>
      <x:c r="F1482" s="1"/>
    </x:row>
    <x:row r="1483">
      <x:c r="A1483" s="1"/>
      <x:c r="B1483" s="1"/>
      <x:c r="C1483" s="1"/>
      <x:c r="D1483" s="1"/>
      <x:c r="E1483" s="1"/>
      <x:c r="F1483" s="1"/>
    </x:row>
    <x:row r="1484">
      <x:c r="A1484" s="1"/>
      <x:c r="B1484" s="1"/>
      <x:c r="C1484" s="1"/>
      <x:c r="D1484" s="1"/>
      <x:c r="E1484" s="1"/>
      <x:c r="F1484" s="1"/>
    </x:row>
    <x:row r="1485">
      <x:c r="A1485" s="1"/>
      <x:c r="B1485" s="1"/>
      <x:c r="C1485" s="1"/>
      <x:c r="D1485" s="1"/>
      <x:c r="E1485" s="1"/>
      <x:c r="F1485" s="1"/>
    </x:row>
    <x:row r="1486">
      <x:c r="A1486" s="1"/>
      <x:c r="B1486" s="1"/>
      <x:c r="C1486" s="1"/>
      <x:c r="D1486" s="1"/>
      <x:c r="E1486" s="1"/>
      <x:c r="F1486" s="1"/>
    </x:row>
    <x:row r="1487">
      <x:c r="A1487" s="1"/>
      <x:c r="B1487" s="1"/>
      <x:c r="C1487" s="1"/>
      <x:c r="D1487" s="1"/>
      <x:c r="E1487" s="1"/>
      <x:c r="F1487" s="1"/>
    </x:row>
    <x:row r="1488">
      <x:c r="A1488" s="1"/>
      <x:c r="B1488" s="1"/>
      <x:c r="C1488" s="1"/>
      <x:c r="D1488" s="1"/>
      <x:c r="E1488" s="1"/>
      <x:c r="F1488" s="1"/>
    </x:row>
    <x:row r="1489">
      <x:c r="A1489" s="1"/>
      <x:c r="B1489" s="1"/>
      <x:c r="C1489" s="1"/>
      <x:c r="D1489" s="1"/>
      <x:c r="E1489" s="1"/>
      <x:c r="F1489" s="1"/>
    </x:row>
    <x:row r="1490">
      <x:c r="A1490" s="1"/>
      <x:c r="B1490" s="1"/>
      <x:c r="C1490" s="1"/>
      <x:c r="D1490" s="1"/>
      <x:c r="E1490" s="1"/>
      <x:c r="F1490" s="1"/>
    </x:row>
    <x:row r="1491">
      <x:c r="A1491" s="1"/>
      <x:c r="B1491" s="1"/>
      <x:c r="C1491" s="1"/>
      <x:c r="D1491" s="1"/>
      <x:c r="E1491" s="1"/>
      <x:c r="F1491" s="1"/>
    </x:row>
    <x:row r="1492">
      <x:c r="A1492" s="1"/>
      <x:c r="B1492" s="1"/>
      <x:c r="C1492" s="1"/>
      <x:c r="D1492" s="1"/>
      <x:c r="E1492" s="1"/>
      <x:c r="F1492" s="1"/>
    </x:row>
    <x:row r="1493">
      <x:c r="A1493" s="1"/>
      <x:c r="B1493" s="1"/>
      <x:c r="C1493" s="1"/>
      <x:c r="D1493" s="1"/>
      <x:c r="E1493" s="1"/>
      <x:c r="F1493" s="1"/>
    </x:row>
    <x:row r="1494">
      <x:c r="A1494" s="1"/>
      <x:c r="B1494" s="1"/>
      <x:c r="C1494" s="1"/>
      <x:c r="D1494" s="1"/>
      <x:c r="E1494" s="1"/>
      <x:c r="F1494" s="1"/>
    </x:row>
    <x:row r="1495">
      <x:c r="A1495" s="1"/>
      <x:c r="B1495" s="1"/>
      <x:c r="C1495" s="1"/>
      <x:c r="D1495" s="1"/>
      <x:c r="E1495" s="1"/>
      <x:c r="F1495" s="1"/>
    </x:row>
    <x:row r="1496">
      <x:c r="A1496" s="1"/>
      <x:c r="B1496" s="1"/>
      <x:c r="C1496" s="1"/>
      <x:c r="D1496" s="1"/>
      <x:c r="E1496" s="1"/>
      <x:c r="F1496" s="1"/>
    </x:row>
    <x:row r="1497">
      <x:c r="A1497" s="1"/>
      <x:c r="B1497" s="1"/>
      <x:c r="C1497" s="1"/>
      <x:c r="D1497" s="1"/>
      <x:c r="E1497" s="1"/>
      <x:c r="F1497" s="1"/>
    </x:row>
    <x:row r="1498">
      <x:c r="A1498" s="1"/>
      <x:c r="B1498" s="1"/>
      <x:c r="C1498" s="1"/>
      <x:c r="D1498" s="1"/>
      <x:c r="E1498" s="1"/>
      <x:c r="F1498" s="1"/>
    </x:row>
    <x:row r="1499">
      <x:c r="A1499" s="1"/>
      <x:c r="B1499" s="1"/>
      <x:c r="C1499" s="1"/>
      <x:c r="D1499" s="1"/>
      <x:c r="E1499" s="1"/>
      <x:c r="F1499" s="1"/>
    </x:row>
    <x:row r="1500">
      <x:c r="A1500" s="1"/>
      <x:c r="B1500" s="1"/>
      <x:c r="C1500" s="1"/>
      <x:c r="D1500" s="1"/>
      <x:c r="E1500" s="1"/>
      <x:c r="F1500" s="1"/>
    </x:row>
    <x:row r="1501">
      <x:c r="A1501" s="1"/>
      <x:c r="B1501" s="1"/>
      <x:c r="C1501" s="1"/>
      <x:c r="D1501" s="1"/>
      <x:c r="E1501" s="1"/>
      <x:c r="F1501" s="1"/>
    </x:row>
    <x:row r="1502">
      <x:c r="A1502" s="1"/>
      <x:c r="B1502" s="1"/>
      <x:c r="C1502" s="1"/>
      <x:c r="D1502" s="1"/>
      <x:c r="E1502" s="1"/>
      <x:c r="F1502" s="1"/>
    </x:row>
    <x:row r="1503">
      <x:c r="A1503" s="1"/>
      <x:c r="B1503" s="1"/>
      <x:c r="C1503" s="1"/>
      <x:c r="D1503" s="1"/>
      <x:c r="E1503" s="1"/>
      <x:c r="F1503" s="1"/>
    </x:row>
    <x:row r="1504">
      <x:c r="A1504" s="1"/>
      <x:c r="B1504" s="1"/>
      <x:c r="C1504" s="1"/>
      <x:c r="D1504" s="1"/>
      <x:c r="E1504" s="1"/>
      <x:c r="F1504" s="1"/>
    </x:row>
    <x:row r="1505">
      <x:c r="A1505" s="1"/>
      <x:c r="B1505" s="1"/>
      <x:c r="C1505" s="1"/>
      <x:c r="D1505" s="1"/>
      <x:c r="E1505" s="1"/>
      <x:c r="F1505" s="1"/>
    </x:row>
    <x:row r="1506">
      <x:c r="A1506" s="1"/>
      <x:c r="B1506" s="1"/>
      <x:c r="C1506" s="1"/>
      <x:c r="D1506" s="1"/>
      <x:c r="E1506" s="1"/>
      <x:c r="F1506" s="1"/>
    </x:row>
    <x:row r="1507">
      <x:c r="A1507" s="1"/>
      <x:c r="B1507" s="1"/>
      <x:c r="C1507" s="1"/>
      <x:c r="D1507" s="1"/>
      <x:c r="E1507" s="1"/>
      <x:c r="F1507" s="1"/>
    </x:row>
    <x:row r="1508">
      <x:c r="A1508" s="1"/>
      <x:c r="B1508" s="1"/>
      <x:c r="C1508" s="1"/>
      <x:c r="D1508" s="1"/>
      <x:c r="E1508" s="1"/>
      <x:c r="F1508" s="1"/>
    </x:row>
    <x:row r="1509">
      <x:c r="A1509" s="1"/>
      <x:c r="B1509" s="1"/>
      <x:c r="C1509" s="1"/>
      <x:c r="D1509" s="1"/>
      <x:c r="E1509" s="1"/>
      <x:c r="F1509" s="1"/>
    </x:row>
    <x:row r="1510">
      <x:c r="A1510" s="1"/>
      <x:c r="B1510" s="1"/>
      <x:c r="C1510" s="1"/>
      <x:c r="D1510" s="1"/>
      <x:c r="E1510" s="1"/>
      <x:c r="F1510" s="1"/>
    </x:row>
    <x:row r="1511">
      <x:c r="A1511" s="1"/>
      <x:c r="B1511" s="1"/>
      <x:c r="C1511" s="1"/>
      <x:c r="D1511" s="1"/>
      <x:c r="E1511" s="1"/>
      <x:c r="F1511" s="1"/>
    </x:row>
    <x:row r="1512">
      <x:c r="A1512" s="1"/>
      <x:c r="B1512" s="1"/>
      <x:c r="C1512" s="1"/>
      <x:c r="D1512" s="1"/>
      <x:c r="E1512" s="1"/>
      <x:c r="F1512" s="1"/>
    </x:row>
    <x:row r="1513">
      <x:c r="A1513" s="1"/>
      <x:c r="B1513" s="1"/>
      <x:c r="C1513" s="1"/>
      <x:c r="D1513" s="1"/>
      <x:c r="E1513" s="1"/>
      <x:c r="F1513" s="1"/>
    </x:row>
    <x:row r="1514">
      <x:c r="A1514" s="1"/>
      <x:c r="B1514" s="1"/>
      <x:c r="C1514" s="1"/>
      <x:c r="D1514" s="1"/>
      <x:c r="E1514" s="1"/>
      <x:c r="F1514" s="1"/>
    </x:row>
    <x:row r="1515">
      <x:c r="A1515" s="1"/>
      <x:c r="B1515" s="1"/>
      <x:c r="C1515" s="1"/>
      <x:c r="D1515" s="1"/>
      <x:c r="E1515" s="1"/>
      <x:c r="F1515" s="1"/>
    </x:row>
    <x:row r="1516">
      <x:c r="A1516" s="1"/>
      <x:c r="B1516" s="1"/>
      <x:c r="C1516" s="1"/>
      <x:c r="D1516" s="1"/>
      <x:c r="E1516" s="1"/>
      <x:c r="F1516" s="1"/>
    </x:row>
    <x:row r="1517">
      <x:c r="A1517" s="1"/>
      <x:c r="B1517" s="1"/>
      <x:c r="C1517" s="1"/>
      <x:c r="D1517" s="1"/>
      <x:c r="E1517" s="1"/>
      <x:c r="F1517" s="1"/>
    </x:row>
    <x:row r="1518">
      <x:c r="A1518" s="1"/>
      <x:c r="B1518" s="1"/>
      <x:c r="C1518" s="1"/>
      <x:c r="D1518" s="1"/>
      <x:c r="E1518" s="1"/>
      <x:c r="F1518" s="1"/>
    </x:row>
    <x:row r="1519">
      <x:c r="A1519" s="1"/>
      <x:c r="B1519" s="1"/>
      <x:c r="C1519" s="1"/>
      <x:c r="D1519" s="1"/>
      <x:c r="E1519" s="1"/>
      <x:c r="F1519" s="1"/>
    </x:row>
    <x:row r="1520">
      <x:c r="A1520" s="1"/>
      <x:c r="B1520" s="1"/>
      <x:c r="C1520" s="1"/>
      <x:c r="D1520" s="1"/>
      <x:c r="E1520" s="1"/>
      <x:c r="F1520" s="1"/>
    </x:row>
    <x:row r="1521">
      <x:c r="A1521" s="1"/>
      <x:c r="B1521" s="1"/>
      <x:c r="C1521" s="1"/>
      <x:c r="D1521" s="1"/>
      <x:c r="E1521" s="1"/>
      <x:c r="F1521" s="1"/>
    </x:row>
    <x:row r="1522">
      <x:c r="A1522" s="1"/>
      <x:c r="B1522" s="1"/>
      <x:c r="C1522" s="1"/>
      <x:c r="D1522" s="1"/>
      <x:c r="E1522" s="1"/>
      <x:c r="F1522" s="1"/>
    </x:row>
    <x:row r="1523">
      <x:c r="A1523" s="1"/>
      <x:c r="B1523" s="1"/>
      <x:c r="C1523" s="1"/>
      <x:c r="D1523" s="1"/>
      <x:c r="E1523" s="1"/>
      <x:c r="F1523" s="1"/>
    </x:row>
    <x:row r="1524">
      <x:c r="A1524" s="1"/>
      <x:c r="B1524" s="1"/>
      <x:c r="C1524" s="1"/>
      <x:c r="D1524" s="1"/>
      <x:c r="E1524" s="1"/>
      <x:c r="F1524" s="1"/>
    </x:row>
    <x:row r="1525">
      <x:c r="A1525" s="1"/>
      <x:c r="B1525" s="1"/>
      <x:c r="C1525" s="1"/>
      <x:c r="D1525" s="1"/>
      <x:c r="E1525" s="1"/>
      <x:c r="F1525" s="1"/>
    </x:row>
    <x:row r="1526">
      <x:c r="A1526" s="1"/>
      <x:c r="B1526" s="1"/>
      <x:c r="C1526" s="1"/>
      <x:c r="D1526" s="1"/>
      <x:c r="E1526" s="1"/>
      <x:c r="F1526" s="1"/>
    </x:row>
    <x:row r="1527">
      <x:c r="A1527" s="1"/>
      <x:c r="B1527" s="1"/>
      <x:c r="C1527" s="1"/>
      <x:c r="D1527" s="1"/>
      <x:c r="E1527" s="1"/>
      <x:c r="F1527" s="1"/>
    </x:row>
    <x:row r="1528">
      <x:c r="A1528" s="1"/>
      <x:c r="B1528" s="1"/>
      <x:c r="C1528" s="1"/>
      <x:c r="D1528" s="1"/>
      <x:c r="E1528" s="1"/>
      <x:c r="F1528" s="1"/>
    </x:row>
    <x:row r="1529">
      <x:c r="A1529" s="1"/>
      <x:c r="B1529" s="1"/>
      <x:c r="C1529" s="1"/>
      <x:c r="D1529" s="1"/>
      <x:c r="E1529" s="1"/>
      <x:c r="F1529" s="1"/>
    </x:row>
    <x:row r="1530">
      <x:c r="A1530" s="1"/>
      <x:c r="B1530" s="1"/>
      <x:c r="C1530" s="1"/>
      <x:c r="D1530" s="1"/>
      <x:c r="E1530" s="1"/>
      <x:c r="F1530" s="1"/>
    </x:row>
    <x:row r="1531">
      <x:c r="A1531" s="1"/>
      <x:c r="B1531" s="1"/>
      <x:c r="C1531" s="1"/>
      <x:c r="D1531" s="1"/>
      <x:c r="E1531" s="1"/>
      <x:c r="F1531" s="1"/>
    </x:row>
    <x:row r="1532">
      <x:c r="A1532" s="1"/>
      <x:c r="B1532" s="1"/>
      <x:c r="C1532" s="1"/>
      <x:c r="D1532" s="1"/>
      <x:c r="E1532" s="1"/>
      <x:c r="F1532" s="1"/>
    </x:row>
    <x:row r="1533">
      <x:c r="A1533" s="1"/>
      <x:c r="B1533" s="1"/>
      <x:c r="C1533" s="1"/>
      <x:c r="D1533" s="1"/>
      <x:c r="E1533" s="1"/>
      <x:c r="F1533" s="1"/>
    </x:row>
    <x:row r="1534">
      <x:c r="A1534" s="1"/>
      <x:c r="B1534" s="1"/>
      <x:c r="C1534" s="1"/>
      <x:c r="D1534" s="1"/>
      <x:c r="E1534" s="1"/>
      <x:c r="F1534" s="1"/>
    </x:row>
    <x:row r="1535">
      <x:c r="A1535" s="1"/>
      <x:c r="B1535" s="1"/>
      <x:c r="C1535" s="1"/>
      <x:c r="D1535" s="1"/>
      <x:c r="E1535" s="1"/>
      <x:c r="F1535" s="1"/>
    </x:row>
    <x:row r="1536">
      <x:c r="A1536" s="1"/>
      <x:c r="B1536" s="1"/>
      <x:c r="C1536" s="1"/>
      <x:c r="D1536" s="1"/>
      <x:c r="E1536" s="1"/>
      <x:c r="F1536" s="1"/>
    </x:row>
    <x:row r="1537">
      <x:c r="A1537" s="1"/>
      <x:c r="B1537" s="1"/>
      <x:c r="C1537" s="1"/>
      <x:c r="D1537" s="1"/>
      <x:c r="E1537" s="1"/>
      <x:c r="F1537" s="1"/>
    </x:row>
    <x:row r="1538">
      <x:c r="A1538" s="1"/>
      <x:c r="B1538" s="1"/>
      <x:c r="C1538" s="1"/>
      <x:c r="D1538" s="1"/>
      <x:c r="E1538" s="1"/>
      <x:c r="F1538" s="1"/>
    </x:row>
    <x:row r="1539">
      <x:c r="A1539" s="1"/>
      <x:c r="B1539" s="1"/>
      <x:c r="C1539" s="1"/>
      <x:c r="D1539" s="1"/>
      <x:c r="E1539" s="1"/>
      <x:c r="F1539" s="1"/>
    </x:row>
    <x:row r="1540">
      <x:c r="A1540" s="1"/>
      <x:c r="B1540" s="1"/>
      <x:c r="C1540" s="1"/>
      <x:c r="D1540" s="1"/>
      <x:c r="E1540" s="1"/>
      <x:c r="F1540" s="1"/>
    </x:row>
    <x:row r="1541">
      <x:c r="A1541" s="1"/>
      <x:c r="B1541" s="1"/>
      <x:c r="C1541" s="1"/>
      <x:c r="D1541" s="1"/>
      <x:c r="E1541" s="1"/>
      <x:c r="F1541" s="1"/>
    </x:row>
    <x:row r="1542">
      <x:c r="A1542" s="1"/>
      <x:c r="B1542" s="1"/>
      <x:c r="C1542" s="1"/>
      <x:c r="D1542" s="1"/>
      <x:c r="E1542" s="1"/>
      <x:c r="F1542" s="1"/>
    </x:row>
    <x:row r="1543">
      <x:c r="A1543" s="1"/>
      <x:c r="B1543" s="1"/>
      <x:c r="C1543" s="1"/>
      <x:c r="D1543" s="1"/>
      <x:c r="E1543" s="1"/>
      <x:c r="F1543" s="1"/>
    </x:row>
    <x:row r="1544">
      <x:c r="A1544" s="1"/>
      <x:c r="B1544" s="1"/>
      <x:c r="C1544" s="1"/>
      <x:c r="D1544" s="1"/>
      <x:c r="E1544" s="1"/>
      <x:c r="F1544" s="1"/>
    </x:row>
    <x:row r="1545">
      <x:c r="A1545" s="1"/>
      <x:c r="B1545" s="1"/>
      <x:c r="C1545" s="1"/>
      <x:c r="D1545" s="1"/>
      <x:c r="E1545" s="1"/>
      <x:c r="F1545" s="1"/>
    </x:row>
    <x:row r="1546">
      <x:c r="A1546" s="1"/>
      <x:c r="B1546" s="1"/>
      <x:c r="C1546" s="1"/>
      <x:c r="D1546" s="1"/>
      <x:c r="E1546" s="1"/>
      <x:c r="F1546" s="1"/>
    </x:row>
    <x:row r="1547">
      <x:c r="A1547" s="1"/>
      <x:c r="B1547" s="1"/>
      <x:c r="C1547" s="1"/>
      <x:c r="D1547" s="1"/>
      <x:c r="E1547" s="1"/>
      <x:c r="F1547" s="1"/>
    </x:row>
    <x:row r="1548">
      <x:c r="A1548" s="1"/>
      <x:c r="B1548" s="1"/>
      <x:c r="C1548" s="1"/>
      <x:c r="D1548" s="1"/>
      <x:c r="E1548" s="1"/>
      <x:c r="F1548" s="1"/>
    </x:row>
    <x:row r="1549">
      <x:c r="A1549" s="1"/>
      <x:c r="B1549" s="1"/>
      <x:c r="C1549" s="1"/>
      <x:c r="D1549" s="1"/>
      <x:c r="E1549" s="1"/>
      <x:c r="F1549" s="1"/>
    </x:row>
    <x:row r="1550">
      <x:c r="A1550" s="1"/>
      <x:c r="B1550" s="1"/>
      <x:c r="C1550" s="1"/>
      <x:c r="D1550" s="1"/>
      <x:c r="E1550" s="1"/>
      <x:c r="F1550" s="1"/>
    </x:row>
    <x:row r="1551">
      <x:c r="A1551" s="1"/>
      <x:c r="B1551" s="1"/>
      <x:c r="C1551" s="1"/>
      <x:c r="D1551" s="1"/>
      <x:c r="E1551" s="1"/>
      <x:c r="F1551" s="1"/>
    </x:row>
    <x:row r="1552">
      <x:c r="A1552" s="1"/>
      <x:c r="B1552" s="1"/>
      <x:c r="C1552" s="1"/>
      <x:c r="D1552" s="1"/>
      <x:c r="E1552" s="1"/>
      <x:c r="F1552" s="1"/>
    </x:row>
    <x:row r="1553">
      <x:c r="A1553" s="1"/>
      <x:c r="B1553" s="1"/>
      <x:c r="C1553" s="1"/>
      <x:c r="D1553" s="1"/>
      <x:c r="E1553" s="1"/>
      <x:c r="F1553" s="1"/>
    </x:row>
    <x:row r="1554">
      <x:c r="A1554" s="1"/>
      <x:c r="B1554" s="1"/>
      <x:c r="C1554" s="1"/>
      <x:c r="D1554" s="1"/>
      <x:c r="E1554" s="1"/>
      <x:c r="F1554" s="1"/>
    </x:row>
    <x:row r="1555">
      <x:c r="A1555" s="1"/>
      <x:c r="B1555" s="1"/>
      <x:c r="C1555" s="1"/>
      <x:c r="D1555" s="1"/>
      <x:c r="E1555" s="1"/>
      <x:c r="F1555" s="1"/>
    </x:row>
    <x:row r="1556">
      <x:c r="A1556" s="1"/>
      <x:c r="B1556" s="1"/>
      <x:c r="C1556" s="1"/>
      <x:c r="D1556" s="1"/>
      <x:c r="E1556" s="1"/>
      <x:c r="F1556" s="1"/>
    </x:row>
    <x:row r="1557">
      <x:c r="A1557" s="1"/>
      <x:c r="B1557" s="1"/>
      <x:c r="C1557" s="1"/>
      <x:c r="D1557" s="1"/>
      <x:c r="E1557" s="1"/>
      <x:c r="F1557" s="1"/>
    </x:row>
    <x:row r="1558">
      <x:c r="A1558" s="1"/>
      <x:c r="B1558" s="1"/>
      <x:c r="C1558" s="1"/>
      <x:c r="D1558" s="1"/>
      <x:c r="E1558" s="1"/>
      <x:c r="F1558" s="1"/>
    </x:row>
    <x:row r="1559">
      <x:c r="A1559" s="1"/>
      <x:c r="B1559" s="1"/>
      <x:c r="C1559" s="1"/>
      <x:c r="D1559" s="1"/>
      <x:c r="E1559" s="1"/>
      <x:c r="F1559" s="1"/>
    </x:row>
    <x:row r="1560">
      <x:c r="A1560" s="1"/>
      <x:c r="B1560" s="1"/>
      <x:c r="C1560" s="1"/>
      <x:c r="D1560" s="1"/>
      <x:c r="E1560" s="1"/>
      <x:c r="F1560" s="1"/>
    </x:row>
    <x:row r="1561">
      <x:c r="A1561" s="1"/>
      <x:c r="B1561" s="1"/>
      <x:c r="C1561" s="1"/>
      <x:c r="D1561" s="1"/>
      <x:c r="E1561" s="1"/>
      <x:c r="F1561" s="1"/>
    </x:row>
    <x:row r="1562">
      <x:c r="A1562" s="1"/>
      <x:c r="B1562" s="1"/>
      <x:c r="C1562" s="1"/>
      <x:c r="D1562" s="1"/>
      <x:c r="E1562" s="1"/>
      <x:c r="F1562" s="1"/>
    </x:row>
    <x:row r="1563">
      <x:c r="A1563" s="1"/>
      <x:c r="B1563" s="1"/>
      <x:c r="C1563" s="1"/>
      <x:c r="D1563" s="1"/>
      <x:c r="E1563" s="1"/>
      <x:c r="F1563" s="1"/>
    </x:row>
    <x:row r="1564">
      <x:c r="A1564" s="1"/>
      <x:c r="B1564" s="1"/>
      <x:c r="C1564" s="1"/>
      <x:c r="D1564" s="1"/>
      <x:c r="E1564" s="1"/>
      <x:c r="F1564" s="1"/>
    </x:row>
    <x:row r="1565">
      <x:c r="A1565" s="1"/>
      <x:c r="B1565" s="1"/>
      <x:c r="C1565" s="1"/>
      <x:c r="D1565" s="1"/>
      <x:c r="E1565" s="1"/>
      <x:c r="F1565" s="1"/>
    </x:row>
    <x:row r="1566">
      <x:c r="A1566" s="1"/>
      <x:c r="B1566" s="1"/>
      <x:c r="C1566" s="1"/>
      <x:c r="D1566" s="1"/>
      <x:c r="E1566" s="1"/>
      <x:c r="F1566" s="1"/>
    </x:row>
    <x:row r="1567">
      <x:c r="A1567" s="1"/>
      <x:c r="B1567" s="1"/>
      <x:c r="C1567" s="1"/>
      <x:c r="D1567" s="1"/>
      <x:c r="E1567" s="1"/>
      <x:c r="F1567" s="1"/>
    </x:row>
    <x:row r="1568">
      <x:c r="A1568" s="1"/>
      <x:c r="B1568" s="1"/>
      <x:c r="C1568" s="1"/>
      <x:c r="D1568" s="1"/>
      <x:c r="E1568" s="1"/>
      <x:c r="F1568" s="1"/>
    </x:row>
    <x:row r="1569">
      <x:c r="A1569" s="1"/>
      <x:c r="B1569" s="1"/>
      <x:c r="C1569" s="1"/>
      <x:c r="D1569" s="1"/>
      <x:c r="E1569" s="1"/>
      <x:c r="F1569" s="1"/>
    </x:row>
    <x:row r="1570">
      <x:c r="A1570" s="1"/>
      <x:c r="B1570" s="1"/>
      <x:c r="C1570" s="1"/>
      <x:c r="D1570" s="1"/>
      <x:c r="E1570" s="1"/>
      <x:c r="F1570" s="1"/>
    </x:row>
    <x:row r="1571">
      <x:c r="A1571" s="1"/>
      <x:c r="B1571" s="1"/>
      <x:c r="C1571" s="1"/>
      <x:c r="D1571" s="1"/>
      <x:c r="E1571" s="1"/>
      <x:c r="F1571" s="1"/>
    </x:row>
    <x:row r="1572">
      <x:c r="A1572" s="1"/>
      <x:c r="B1572" s="1"/>
      <x:c r="C1572" s="1"/>
      <x:c r="D1572" s="1"/>
      <x:c r="E1572" s="1"/>
      <x:c r="F1572" s="1"/>
    </x:row>
    <x:row r="1573">
      <x:c r="A1573" s="1"/>
      <x:c r="B1573" s="1"/>
      <x:c r="C1573" s="1"/>
      <x:c r="D1573" s="1"/>
      <x:c r="E1573" s="1"/>
      <x:c r="F1573" s="1"/>
    </x:row>
    <x:row r="1574">
      <x:c r="A1574" s="1"/>
      <x:c r="B1574" s="1"/>
      <x:c r="C1574" s="1"/>
      <x:c r="D1574" s="1"/>
      <x:c r="E1574" s="1"/>
      <x:c r="F1574" s="1"/>
    </x:row>
    <x:row r="1575">
      <x:c r="A1575" s="1"/>
      <x:c r="B1575" s="1"/>
      <x:c r="C1575" s="1"/>
      <x:c r="D1575" s="1"/>
      <x:c r="E1575" s="1"/>
      <x:c r="F1575" s="1"/>
    </x:row>
    <x:row r="1576">
      <x:c r="A1576" s="1"/>
      <x:c r="B1576" s="1"/>
      <x:c r="C1576" s="1"/>
      <x:c r="D1576" s="1"/>
      <x:c r="E1576" s="1"/>
      <x:c r="F1576" s="1"/>
    </x:row>
    <x:row r="1577">
      <x:c r="A1577" s="1"/>
      <x:c r="B1577" s="1"/>
      <x:c r="C1577" s="1"/>
      <x:c r="D1577" s="1"/>
      <x:c r="E1577" s="1"/>
      <x:c r="F1577" s="1"/>
    </x:row>
    <x:row r="1578">
      <x:c r="A1578" s="1"/>
      <x:c r="B1578" s="1"/>
      <x:c r="C1578" s="1"/>
      <x:c r="D1578" s="1"/>
      <x:c r="E1578" s="1"/>
      <x:c r="F1578" s="1"/>
    </x:row>
    <x:row r="1579">
      <x:c r="A1579" s="1"/>
      <x:c r="B1579" s="1"/>
      <x:c r="C1579" s="1"/>
      <x:c r="D1579" s="1"/>
      <x:c r="E1579" s="1"/>
      <x:c r="F1579" s="1"/>
    </x:row>
    <x:row r="1580">
      <x:c r="A1580" s="1"/>
      <x:c r="B1580" s="1"/>
      <x:c r="C1580" s="1"/>
      <x:c r="D1580" s="1"/>
      <x:c r="E1580" s="1"/>
      <x:c r="F1580" s="1"/>
    </x:row>
    <x:row r="1581">
      <x:c r="A1581" s="1"/>
      <x:c r="B1581" s="1"/>
      <x:c r="C1581" s="1"/>
      <x:c r="D1581" s="1"/>
      <x:c r="E1581" s="1"/>
      <x:c r="F1581" s="1"/>
    </x:row>
    <x:row r="1582">
      <x:c r="A1582" s="1"/>
      <x:c r="B1582" s="1"/>
      <x:c r="C1582" s="1"/>
      <x:c r="D1582" s="1"/>
      <x:c r="E1582" s="1"/>
      <x:c r="F1582" s="1"/>
    </x:row>
    <x:row r="1583">
      <x:c r="A1583" s="1"/>
      <x:c r="B1583" s="1"/>
      <x:c r="C1583" s="1"/>
      <x:c r="D1583" s="1"/>
      <x:c r="E1583" s="1"/>
      <x:c r="F1583" s="1"/>
    </x:row>
    <x:row r="1584">
      <x:c r="A1584" s="1"/>
      <x:c r="B1584" s="1"/>
      <x:c r="C1584" s="1"/>
      <x:c r="D1584" s="1"/>
      <x:c r="E1584" s="1"/>
      <x:c r="F1584" s="1"/>
    </x:row>
    <x:row r="1585">
      <x:c r="A1585" s="1"/>
      <x:c r="B1585" s="1"/>
      <x:c r="C1585" s="1"/>
      <x:c r="D1585" s="1"/>
      <x:c r="E1585" s="1"/>
      <x:c r="F1585" s="1"/>
    </x:row>
    <x:row r="1586">
      <x:c r="A1586" s="1"/>
      <x:c r="B1586" s="1"/>
      <x:c r="C1586" s="1"/>
      <x:c r="D1586" s="1"/>
      <x:c r="E1586" s="1"/>
      <x:c r="F1586" s="1"/>
    </x:row>
    <x:row r="1587">
      <x:c r="A1587" s="1"/>
      <x:c r="B1587" s="1"/>
      <x:c r="C1587" s="1"/>
      <x:c r="D1587" s="1"/>
      <x:c r="E1587" s="1"/>
      <x:c r="F1587" s="1"/>
    </x:row>
    <x:row r="1588">
      <x:c r="A1588" s="1"/>
      <x:c r="B1588" s="1"/>
      <x:c r="C1588" s="1"/>
      <x:c r="D1588" s="1"/>
      <x:c r="E1588" s="1"/>
      <x:c r="F1588" s="1"/>
    </x:row>
    <x:row r="1589">
      <x:c r="A1589" s="1"/>
      <x:c r="B1589" s="1"/>
      <x:c r="C1589" s="1"/>
      <x:c r="D1589" s="1"/>
      <x:c r="E1589" s="1"/>
      <x:c r="F1589" s="1"/>
    </x:row>
    <x:row r="1590">
      <x:c r="A1590" s="1"/>
      <x:c r="B1590" s="1"/>
      <x:c r="C1590" s="1"/>
      <x:c r="D1590" s="1"/>
      <x:c r="E1590" s="1"/>
      <x:c r="F1590" s="1"/>
    </x:row>
    <x:row r="1591">
      <x:c r="A1591" s="1"/>
      <x:c r="B1591" s="1"/>
      <x:c r="C1591" s="1"/>
      <x:c r="D1591" s="1"/>
      <x:c r="E1591" s="1"/>
      <x:c r="F1591" s="1"/>
    </x:row>
    <x:row r="1592">
      <x:c r="A1592" s="1"/>
      <x:c r="B1592" s="1"/>
      <x:c r="C1592" s="1"/>
      <x:c r="D1592" s="1"/>
      <x:c r="E1592" s="1"/>
      <x:c r="F1592" s="1"/>
    </x:row>
    <x:row r="1593">
      <x:c r="A1593" s="1"/>
      <x:c r="B1593" s="1"/>
      <x:c r="C1593" s="1"/>
      <x:c r="D1593" s="1"/>
      <x:c r="E1593" s="1"/>
      <x:c r="F1593" s="1"/>
    </x:row>
    <x:row r="1594">
      <x:c r="A1594" s="1"/>
      <x:c r="B1594" s="1"/>
      <x:c r="C1594" s="1"/>
      <x:c r="D1594" s="1"/>
      <x:c r="E1594" s="1"/>
      <x:c r="F1594" s="1"/>
    </x:row>
    <x:row r="1595">
      <x:c r="A1595" s="1"/>
      <x:c r="B1595" s="1"/>
      <x:c r="C1595" s="1"/>
      <x:c r="D1595" s="1"/>
      <x:c r="E1595" s="1"/>
      <x:c r="F1595" s="1"/>
    </x:row>
    <x:row r="1596">
      <x:c r="A1596" s="1"/>
      <x:c r="B1596" s="1"/>
      <x:c r="C1596" s="1"/>
      <x:c r="D1596" s="1"/>
      <x:c r="E1596" s="1"/>
      <x:c r="F1596" s="1"/>
    </x:row>
    <x:row r="1597">
      <x:c r="A1597" s="1"/>
      <x:c r="B1597" s="1"/>
      <x:c r="C1597" s="1"/>
      <x:c r="D1597" s="1"/>
      <x:c r="E1597" s="1"/>
      <x:c r="F1597" s="1"/>
    </x:row>
    <x:row r="1598">
      <x:c r="A1598" s="1"/>
      <x:c r="B1598" s="1"/>
      <x:c r="C1598" s="1"/>
      <x:c r="D1598" s="1"/>
      <x:c r="E1598" s="1"/>
      <x:c r="F1598" s="1"/>
    </x:row>
    <x:row r="1599">
      <x:c r="A1599" s="1"/>
      <x:c r="B1599" s="1"/>
      <x:c r="C1599" s="1"/>
      <x:c r="D1599" s="1"/>
      <x:c r="E1599" s="1"/>
      <x:c r="F1599" s="1"/>
    </x:row>
    <x:row r="1600">
      <x:c r="A1600" s="1"/>
      <x:c r="B1600" s="1"/>
      <x:c r="C1600" s="1"/>
      <x:c r="D1600" s="1"/>
      <x:c r="E1600" s="1"/>
      <x:c r="F1600" s="1"/>
    </x:row>
    <x:row r="1601">
      <x:c r="A1601" s="1"/>
      <x:c r="B1601" s="1"/>
      <x:c r="C1601" s="1"/>
      <x:c r="D1601" s="1"/>
      <x:c r="E1601" s="1"/>
      <x:c r="F1601" s="1"/>
    </x:row>
    <x:row r="1602">
      <x:c r="A1602" s="1"/>
      <x:c r="B1602" s="1"/>
      <x:c r="C1602" s="1"/>
      <x:c r="D1602" s="1"/>
      <x:c r="E1602" s="1"/>
      <x:c r="F1602" s="1"/>
    </x:row>
    <x:row r="1603">
      <x:c r="A1603" s="1"/>
      <x:c r="B1603" s="1"/>
      <x:c r="C1603" s="1"/>
      <x:c r="D1603" s="1"/>
      <x:c r="E1603" s="1"/>
      <x:c r="F1603" s="1"/>
    </x:row>
    <x:row r="1604">
      <x:c r="A1604" s="1"/>
      <x:c r="B1604" s="1"/>
      <x:c r="C1604" s="1"/>
      <x:c r="D1604" s="1"/>
      <x:c r="E1604" s="1"/>
      <x:c r="F1604" s="1"/>
    </x:row>
    <x:row r="1605">
      <x:c r="A1605" s="1"/>
      <x:c r="B1605" s="1"/>
      <x:c r="C1605" s="1"/>
      <x:c r="D1605" s="1"/>
      <x:c r="E1605" s="1"/>
      <x:c r="F1605" s="1"/>
    </x:row>
    <x:row r="1606">
      <x:c r="A1606" s="1"/>
      <x:c r="B1606" s="1"/>
      <x:c r="C1606" s="1"/>
      <x:c r="D1606" s="1"/>
      <x:c r="E1606" s="1"/>
      <x:c r="F1606" s="1"/>
    </x:row>
    <x:row r="1607">
      <x:c r="A1607" s="1"/>
      <x:c r="B1607" s="1"/>
      <x:c r="C1607" s="1"/>
      <x:c r="D1607" s="1"/>
      <x:c r="E1607" s="1"/>
      <x:c r="F1607" s="1"/>
    </x:row>
    <x:row r="1608">
      <x:c r="A1608" s="1"/>
      <x:c r="B1608" s="1"/>
      <x:c r="C1608" s="1"/>
      <x:c r="D1608" s="1"/>
      <x:c r="E1608" s="1"/>
      <x:c r="F1608" s="1"/>
    </x:row>
    <x:row r="1609">
      <x:c r="A1609" s="1"/>
      <x:c r="B1609" s="1"/>
      <x:c r="C1609" s="1"/>
      <x:c r="D1609" s="1"/>
      <x:c r="E1609" s="1"/>
      <x:c r="F1609" s="1"/>
    </x:row>
    <x:row r="1610">
      <x:c r="A1610" s="1"/>
      <x:c r="B1610" s="1"/>
      <x:c r="C1610" s="1"/>
      <x:c r="D1610" s="1"/>
      <x:c r="E1610" s="1"/>
      <x:c r="F1610" s="1"/>
    </x:row>
    <x:row r="1611">
      <x:c r="A1611" s="1"/>
      <x:c r="B1611" s="1"/>
      <x:c r="C1611" s="1"/>
      <x:c r="D1611" s="1"/>
      <x:c r="E1611" s="1"/>
      <x:c r="F1611" s="1"/>
    </x:row>
    <x:row r="1612">
      <x:c r="A1612" s="1"/>
      <x:c r="B1612" s="1"/>
      <x:c r="C1612" s="1"/>
      <x:c r="D1612" s="1"/>
      <x:c r="E1612" s="1"/>
      <x:c r="F1612" s="1"/>
    </x:row>
    <x:row r="1613">
      <x:c r="A1613" s="1"/>
      <x:c r="B1613" s="1"/>
      <x:c r="C1613" s="1"/>
      <x:c r="D1613" s="1"/>
      <x:c r="E1613" s="1"/>
      <x:c r="F1613" s="1"/>
    </x:row>
    <x:row r="1614">
      <x:c r="A1614" s="1"/>
      <x:c r="B1614" s="1"/>
      <x:c r="C1614" s="1"/>
      <x:c r="D1614" s="1"/>
      <x:c r="E1614" s="1"/>
      <x:c r="F1614" s="1"/>
    </x:row>
    <x:row r="1615">
      <x:c r="A1615" s="1"/>
      <x:c r="B1615" s="1"/>
      <x:c r="C1615" s="1"/>
      <x:c r="D1615" s="1"/>
      <x:c r="E1615" s="1"/>
      <x:c r="F1615" s="1"/>
    </x:row>
    <x:row r="1616">
      <x:c r="A1616" s="1"/>
      <x:c r="B1616" s="1"/>
      <x:c r="C1616" s="1"/>
      <x:c r="D1616" s="1"/>
      <x:c r="E1616" s="1"/>
      <x:c r="F1616" s="1"/>
    </x:row>
    <x:row r="1617">
      <x:c r="A1617" s="1"/>
      <x:c r="B1617" s="1"/>
      <x:c r="C1617" s="1"/>
      <x:c r="D1617" s="1"/>
      <x:c r="E1617" s="1"/>
      <x:c r="F1617" s="1"/>
    </x:row>
    <x:row r="1618">
      <x:c r="A1618" s="1"/>
      <x:c r="B1618" s="1"/>
      <x:c r="C1618" s="1"/>
      <x:c r="D1618" s="1"/>
      <x:c r="E1618" s="1"/>
      <x:c r="F1618" s="1"/>
    </x:row>
    <x:row r="1619">
      <x:c r="A1619" s="1"/>
      <x:c r="B1619" s="1"/>
      <x:c r="C1619" s="1"/>
      <x:c r="D1619" s="1"/>
      <x:c r="E1619" s="1"/>
      <x:c r="F1619" s="1"/>
    </x:row>
    <x:row r="1620">
      <x:c r="A1620" s="1"/>
      <x:c r="B1620" s="1"/>
      <x:c r="C1620" s="1"/>
      <x:c r="D1620" s="1"/>
      <x:c r="E1620" s="1"/>
      <x:c r="F1620" s="1"/>
    </x:row>
    <x:row r="1621">
      <x:c r="A1621" s="1"/>
      <x:c r="B1621" s="1"/>
      <x:c r="C1621" s="1"/>
      <x:c r="D1621" s="1"/>
      <x:c r="E1621" s="1"/>
      <x:c r="F1621" s="1"/>
    </x:row>
    <x:row r="1622">
      <x:c r="A1622" s="1"/>
      <x:c r="B1622" s="1"/>
      <x:c r="C1622" s="1"/>
      <x:c r="D1622" s="1"/>
      <x:c r="E1622" s="1"/>
      <x:c r="F1622" s="1"/>
    </x:row>
    <x:row r="1623">
      <x:c r="A1623" s="1"/>
      <x:c r="B1623" s="1"/>
      <x:c r="C1623" s="1"/>
      <x:c r="D1623" s="1"/>
      <x:c r="E1623" s="1"/>
      <x:c r="F1623" s="1"/>
    </x:row>
    <x:row r="1624">
      <x:c r="A1624" s="1"/>
      <x:c r="B1624" s="1"/>
      <x:c r="C1624" s="1"/>
      <x:c r="D1624" s="1"/>
      <x:c r="E1624" s="1"/>
      <x:c r="F1624" s="1"/>
    </x:row>
    <x:row r="1625">
      <x:c r="A1625" s="1"/>
      <x:c r="B1625" s="1"/>
      <x:c r="C1625" s="1"/>
      <x:c r="D1625" s="1"/>
      <x:c r="E1625" s="1"/>
      <x:c r="F1625" s="1"/>
    </x:row>
    <x:row r="1626">
      <x:c r="A1626" s="1"/>
      <x:c r="B1626" s="1"/>
      <x:c r="C1626" s="1"/>
      <x:c r="D1626" s="1"/>
      <x:c r="E1626" s="1"/>
      <x:c r="F1626" s="1"/>
    </x:row>
    <x:row r="1627">
      <x:c r="A1627" s="1"/>
      <x:c r="B1627" s="1"/>
      <x:c r="C1627" s="1"/>
      <x:c r="D1627" s="1"/>
      <x:c r="E1627" s="1"/>
      <x:c r="F1627" s="1"/>
    </x:row>
    <x:row r="1628">
      <x:c r="A1628" s="1"/>
      <x:c r="B1628" s="1"/>
      <x:c r="C1628" s="1"/>
      <x:c r="D1628" s="1"/>
      <x:c r="E1628" s="1"/>
      <x:c r="F1628" s="1"/>
    </x:row>
    <x:row r="1629">
      <x:c r="A1629" s="1"/>
      <x:c r="B1629" s="1"/>
      <x:c r="C1629" s="1"/>
      <x:c r="D1629" s="1"/>
      <x:c r="E1629" s="1"/>
      <x:c r="F1629" s="1"/>
    </x:row>
    <x:row r="1630">
      <x:c r="A1630" s="1"/>
      <x:c r="B1630" s="1"/>
      <x:c r="C1630" s="1"/>
      <x:c r="D1630" s="1"/>
      <x:c r="E1630" s="1"/>
      <x:c r="F1630" s="1"/>
    </x:row>
    <x:row r="1631">
      <x:c r="A1631" s="1"/>
      <x:c r="B1631" s="1"/>
      <x:c r="C1631" s="1"/>
      <x:c r="D1631" s="1"/>
      <x:c r="E1631" s="1"/>
      <x:c r="F1631" s="1"/>
    </x:row>
    <x:row r="1632">
      <x:c r="A1632" s="1"/>
      <x:c r="B1632" s="1"/>
      <x:c r="C1632" s="1"/>
      <x:c r="D1632" s="1"/>
      <x:c r="E1632" s="1"/>
      <x:c r="F1632" s="1"/>
    </x:row>
    <x:row r="1633">
      <x:c r="A1633" s="1"/>
      <x:c r="B1633" s="1"/>
      <x:c r="C1633" s="1"/>
      <x:c r="D1633" s="1"/>
      <x:c r="E1633" s="1"/>
      <x:c r="F1633" s="1"/>
    </x:row>
    <x:row r="1634">
      <x:c r="A1634" s="1"/>
      <x:c r="B1634" s="1"/>
      <x:c r="C1634" s="1"/>
      <x:c r="D1634" s="1"/>
      <x:c r="E1634" s="1"/>
      <x:c r="F1634" s="1"/>
    </x:row>
    <x:row r="1635">
      <x:c r="A1635" s="1"/>
      <x:c r="B1635" s="1"/>
      <x:c r="C1635" s="1"/>
      <x:c r="D1635" s="1"/>
      <x:c r="E1635" s="1"/>
      <x:c r="F1635" s="1"/>
    </x:row>
    <x:row r="1636">
      <x:c r="A1636" s="1"/>
      <x:c r="B1636" s="1"/>
      <x:c r="C1636" s="1"/>
      <x:c r="D1636" s="1"/>
      <x:c r="E1636" s="1"/>
      <x:c r="F1636" s="1"/>
    </x:row>
    <x:row r="1637">
      <x:c r="A1637" s="1"/>
      <x:c r="B1637" s="1"/>
      <x:c r="C1637" s="1"/>
      <x:c r="D1637" s="1"/>
      <x:c r="E1637" s="1"/>
      <x:c r="F1637" s="1"/>
    </x:row>
    <x:row r="1638">
      <x:c r="A1638" s="1"/>
      <x:c r="B1638" s="1"/>
      <x:c r="C1638" s="1"/>
      <x:c r="D1638" s="1"/>
      <x:c r="E1638" s="1"/>
      <x:c r="F1638" s="1"/>
    </x:row>
    <x:row r="1639">
      <x:c r="A1639" s="1"/>
      <x:c r="B1639" s="1"/>
      <x:c r="C1639" s="1"/>
      <x:c r="D1639" s="1"/>
      <x:c r="E1639" s="1"/>
      <x:c r="F1639" s="1"/>
    </x:row>
    <x:row r="1640">
      <x:c r="A1640" s="1"/>
      <x:c r="B1640" s="1"/>
      <x:c r="C1640" s="1"/>
      <x:c r="D1640" s="1"/>
      <x:c r="E1640" s="1"/>
      <x:c r="F1640" s="1"/>
    </x:row>
    <x:row r="1641">
      <x:c r="A1641" s="1"/>
      <x:c r="B1641" s="1"/>
      <x:c r="C1641" s="1"/>
      <x:c r="D1641" s="1"/>
      <x:c r="E1641" s="1"/>
      <x:c r="F1641" s="1"/>
    </x:row>
    <x:row r="1642">
      <x:c r="A1642" s="1"/>
      <x:c r="B1642" s="1"/>
      <x:c r="C1642" s="1"/>
      <x:c r="D1642" s="1"/>
      <x:c r="E1642" s="1"/>
      <x:c r="F1642" s="1"/>
    </x:row>
    <x:row r="1643">
      <x:c r="A1643" s="1"/>
      <x:c r="B1643" s="1"/>
      <x:c r="C1643" s="1"/>
      <x:c r="D1643" s="1"/>
      <x:c r="E1643" s="1"/>
      <x:c r="F1643" s="1"/>
    </x:row>
    <x:row r="1644">
      <x:c r="A1644" s="1"/>
      <x:c r="B1644" s="1"/>
      <x:c r="C1644" s="1"/>
      <x:c r="D1644" s="1"/>
      <x:c r="E1644" s="1"/>
      <x:c r="F1644" s="1"/>
    </x:row>
    <x:row r="1645">
      <x:c r="A1645" s="1"/>
      <x:c r="B1645" s="1"/>
      <x:c r="C1645" s="1"/>
      <x:c r="D1645" s="1"/>
      <x:c r="E1645" s="1"/>
      <x:c r="F1645" s="1"/>
    </x:row>
    <x:row r="1646">
      <x:c r="A1646" s="1"/>
      <x:c r="B1646" s="1"/>
      <x:c r="C1646" s="1"/>
      <x:c r="D1646" s="1"/>
      <x:c r="E1646" s="1"/>
      <x:c r="F1646" s="1"/>
    </x:row>
    <x:row r="1647">
      <x:c r="A1647" s="1"/>
      <x:c r="B1647" s="1"/>
      <x:c r="C1647" s="1"/>
      <x:c r="D1647" s="1"/>
      <x:c r="E1647" s="1"/>
      <x:c r="F1647" s="1"/>
    </x:row>
    <x:row r="1648">
      <x:c r="A1648" s="1"/>
      <x:c r="B1648" s="1"/>
      <x:c r="C1648" s="1"/>
      <x:c r="D1648" s="1"/>
      <x:c r="E1648" s="1"/>
      <x:c r="F1648" s="1"/>
    </x:row>
    <x:row r="1649">
      <x:c r="A1649" s="1"/>
      <x:c r="B1649" s="1"/>
      <x:c r="C1649" s="1"/>
      <x:c r="D1649" s="1"/>
      <x:c r="E1649" s="1"/>
      <x:c r="F1649" s="1"/>
    </x:row>
    <x:row r="1650">
      <x:c r="A1650" s="1"/>
      <x:c r="B1650" s="1"/>
      <x:c r="C1650" s="1"/>
      <x:c r="D1650" s="1"/>
      <x:c r="E1650" s="1"/>
      <x:c r="F1650" s="1"/>
    </x:row>
    <x:row r="1651">
      <x:c r="A1651" s="1"/>
      <x:c r="B1651" s="1"/>
      <x:c r="C1651" s="1"/>
      <x:c r="D1651" s="1"/>
      <x:c r="E1651" s="1"/>
      <x:c r="F1651" s="1"/>
    </x:row>
    <x:row r="1652">
      <x:c r="A1652" s="1"/>
      <x:c r="B1652" s="1"/>
      <x:c r="C1652" s="1"/>
      <x:c r="D1652" s="1"/>
      <x:c r="E1652" s="1"/>
      <x:c r="F1652" s="1"/>
    </x:row>
    <x:row r="1653">
      <x:c r="A1653" s="1"/>
      <x:c r="B1653" s="1"/>
      <x:c r="C1653" s="1"/>
      <x:c r="D1653" s="1"/>
      <x:c r="E1653" s="1"/>
      <x:c r="F1653" s="1"/>
    </x:row>
    <x:row r="1654">
      <x:c r="A1654" s="1"/>
      <x:c r="B1654" s="1"/>
      <x:c r="C1654" s="1"/>
      <x:c r="D1654" s="1"/>
      <x:c r="E1654" s="1"/>
      <x:c r="F1654" s="1"/>
    </x:row>
    <x:row r="1655">
      <x:c r="A1655" s="1"/>
      <x:c r="B1655" s="1"/>
      <x:c r="C1655" s="1"/>
      <x:c r="D1655" s="1"/>
      <x:c r="E1655" s="1"/>
      <x:c r="F1655" s="1"/>
    </x:row>
    <x:row r="1656">
      <x:c r="A1656" s="1"/>
      <x:c r="B1656" s="1"/>
      <x:c r="C1656" s="1"/>
      <x:c r="D1656" s="1"/>
      <x:c r="E1656" s="1"/>
      <x:c r="F1656" s="1"/>
    </x:row>
    <x:row r="1657">
      <x:c r="A1657" s="1"/>
      <x:c r="B1657" s="1"/>
      <x:c r="C1657" s="1"/>
      <x:c r="D1657" s="1"/>
      <x:c r="E1657" s="1"/>
      <x:c r="F1657" s="1"/>
    </x:row>
    <x:row r="1658">
      <x:c r="A1658" s="1"/>
      <x:c r="B1658" s="1"/>
      <x:c r="C1658" s="1"/>
      <x:c r="D1658" s="1"/>
      <x:c r="E1658" s="1"/>
      <x:c r="F1658" s="1"/>
    </x:row>
    <x:row r="1659">
      <x:c r="A1659" s="1"/>
      <x:c r="B1659" s="1"/>
      <x:c r="C1659" s="1"/>
      <x:c r="D1659" s="1"/>
      <x:c r="E1659" s="1"/>
      <x:c r="F1659" s="1"/>
    </x:row>
    <x:row r="1660">
      <x:c r="A1660" s="1"/>
      <x:c r="B1660" s="1"/>
      <x:c r="C1660" s="1"/>
      <x:c r="D1660" s="1"/>
      <x:c r="E1660" s="1"/>
      <x:c r="F1660" s="1"/>
    </x:row>
    <x:row r="1661">
      <x:c r="A1661" s="1"/>
      <x:c r="B1661" s="1"/>
      <x:c r="C1661" s="1"/>
      <x:c r="D1661" s="1"/>
      <x:c r="E1661" s="1"/>
      <x:c r="F1661" s="1"/>
    </x:row>
    <x:row r="1662">
      <x:c r="A1662" s="1"/>
      <x:c r="B1662" s="1"/>
      <x:c r="C1662" s="1"/>
      <x:c r="D1662" s="1"/>
      <x:c r="E1662" s="1"/>
      <x:c r="F1662" s="1"/>
    </x:row>
    <x:row r="1663">
      <x:c r="A1663" s="1"/>
      <x:c r="B1663" s="1"/>
      <x:c r="C1663" s="1"/>
      <x:c r="D1663" s="1"/>
      <x:c r="E1663" s="1"/>
      <x:c r="F1663" s="1"/>
    </x:row>
    <x:row r="1664">
      <x:c r="A1664" s="1"/>
      <x:c r="B1664" s="1"/>
      <x:c r="C1664" s="1"/>
      <x:c r="D1664" s="1"/>
      <x:c r="E1664" s="1"/>
      <x:c r="F1664" s="1"/>
    </x:row>
    <x:row r="1665">
      <x:c r="A1665" s="1"/>
      <x:c r="B1665" s="1"/>
      <x:c r="C1665" s="1"/>
      <x:c r="D1665" s="1"/>
      <x:c r="E1665" s="1"/>
      <x:c r="F1665" s="1"/>
    </x:row>
    <x:row r="1666">
      <x:c r="A1666" s="1"/>
      <x:c r="B1666" s="1"/>
      <x:c r="C1666" s="1"/>
      <x:c r="D1666" s="1"/>
      <x:c r="E1666" s="1"/>
      <x:c r="F1666" s="1"/>
    </x:row>
    <x:row r="1667">
      <x:c r="A1667" s="1"/>
      <x:c r="B1667" s="1"/>
      <x:c r="C1667" s="1"/>
      <x:c r="D1667" s="1"/>
      <x:c r="E1667" s="1"/>
      <x:c r="F1667" s="1"/>
    </x:row>
    <x:row r="1668">
      <x:c r="A1668" s="1"/>
      <x:c r="B1668" s="1"/>
      <x:c r="C1668" s="1"/>
      <x:c r="D1668" s="1"/>
      <x:c r="E1668" s="1"/>
      <x:c r="F1668" s="1"/>
    </x:row>
    <x:row r="1669">
      <x:c r="A1669" s="1"/>
      <x:c r="B1669" s="1"/>
      <x:c r="C1669" s="1"/>
      <x:c r="D1669" s="1"/>
      <x:c r="E1669" s="1"/>
      <x:c r="F1669" s="1"/>
    </x:row>
    <x:row r="1670">
      <x:c r="A1670" s="1"/>
      <x:c r="B1670" s="1"/>
      <x:c r="C1670" s="1"/>
      <x:c r="D1670" s="1"/>
      <x:c r="E1670" s="1"/>
      <x:c r="F1670" s="1"/>
    </x:row>
    <x:row r="1671">
      <x:c r="A1671" s="1"/>
      <x:c r="B1671" s="1"/>
      <x:c r="C1671" s="1"/>
      <x:c r="D1671" s="1"/>
      <x:c r="E1671" s="1"/>
      <x:c r="F1671" s="1"/>
    </x:row>
    <x:row r="1672">
      <x:c r="A1672" s="1"/>
      <x:c r="B1672" s="1"/>
      <x:c r="C1672" s="1"/>
      <x:c r="D1672" s="1"/>
      <x:c r="E1672" s="1"/>
      <x:c r="F1672" s="1"/>
    </x:row>
    <x:row r="1673">
      <x:c r="A1673" s="1"/>
      <x:c r="B1673" s="1"/>
      <x:c r="C1673" s="1"/>
      <x:c r="D1673" s="1"/>
      <x:c r="E1673" s="1"/>
      <x:c r="F1673" s="1"/>
    </x:row>
    <x:row r="1674">
      <x:c r="A1674" s="1"/>
      <x:c r="B1674" s="1"/>
      <x:c r="C1674" s="1"/>
      <x:c r="D1674" s="1"/>
      <x:c r="E1674" s="1"/>
      <x:c r="F1674" s="1"/>
    </x:row>
    <x:row r="1675">
      <x:c r="A1675" s="1"/>
      <x:c r="B1675" s="1"/>
      <x:c r="C1675" s="1"/>
      <x:c r="D1675" s="1"/>
      <x:c r="E1675" s="1"/>
      <x:c r="F1675" s="1"/>
    </x:row>
    <x:row r="1676">
      <x:c r="A1676" s="1"/>
      <x:c r="B1676" s="1"/>
      <x:c r="C1676" s="1"/>
      <x:c r="D1676" s="1"/>
      <x:c r="E1676" s="1"/>
      <x:c r="F1676" s="1"/>
    </x:row>
    <x:row r="1677">
      <x:c r="A1677" s="1"/>
      <x:c r="B1677" s="1"/>
      <x:c r="C1677" s="1"/>
      <x:c r="D1677" s="1"/>
      <x:c r="E1677" s="1"/>
      <x:c r="F1677" s="1"/>
    </x:row>
    <x:row r="1678">
      <x:c r="A1678" s="1"/>
      <x:c r="B1678" s="1"/>
      <x:c r="C1678" s="1"/>
      <x:c r="D1678" s="1"/>
      <x:c r="E1678" s="1"/>
      <x:c r="F1678" s="1"/>
    </x:row>
    <x:row r="1679">
      <x:c r="A1679" s="1"/>
      <x:c r="B1679" s="1"/>
      <x:c r="C1679" s="1"/>
      <x:c r="D1679" s="1"/>
      <x:c r="E1679" s="1"/>
      <x:c r="F1679" s="1"/>
    </x:row>
    <x:row r="1680">
      <x:c r="A1680" s="1"/>
      <x:c r="B1680" s="1"/>
      <x:c r="C1680" s="1"/>
      <x:c r="D1680" s="1"/>
      <x:c r="E1680" s="1"/>
      <x:c r="F1680" s="1"/>
    </x:row>
    <x:row r="1681">
      <x:c r="A1681" s="1"/>
      <x:c r="B1681" s="1"/>
      <x:c r="C1681" s="1"/>
      <x:c r="D1681" s="1"/>
      <x:c r="E1681" s="1"/>
      <x:c r="F1681" s="1"/>
    </x:row>
    <x:row r="1682">
      <x:c r="A1682" s="1"/>
      <x:c r="B1682" s="1"/>
      <x:c r="C1682" s="1"/>
      <x:c r="D1682" s="1"/>
      <x:c r="E1682" s="1"/>
      <x:c r="F1682" s="1"/>
    </x:row>
    <x:row r="1683">
      <x:c r="A1683" s="1"/>
      <x:c r="B1683" s="1"/>
      <x:c r="C1683" s="1"/>
      <x:c r="D1683" s="1"/>
      <x:c r="E1683" s="1"/>
      <x:c r="F1683" s="1"/>
    </x:row>
    <x:row r="1684">
      <x:c r="A1684" s="1"/>
      <x:c r="B1684" s="1"/>
      <x:c r="C1684" s="1"/>
      <x:c r="D1684" s="1"/>
      <x:c r="E1684" s="1"/>
      <x:c r="F1684" s="1"/>
    </x:row>
    <x:row r="1685">
      <x:c r="A1685" s="1"/>
      <x:c r="B1685" s="1"/>
      <x:c r="C1685" s="1"/>
      <x:c r="D1685" s="1"/>
      <x:c r="E1685" s="1"/>
      <x:c r="F1685" s="1"/>
    </x:row>
    <x:row r="1686">
      <x:c r="A1686" s="1"/>
      <x:c r="B1686" s="1"/>
      <x:c r="C1686" s="1"/>
      <x:c r="D1686" s="1"/>
      <x:c r="E1686" s="1"/>
      <x:c r="F1686" s="1"/>
    </x:row>
    <x:row r="1687">
      <x:c r="A1687" s="1"/>
      <x:c r="B1687" s="1"/>
      <x:c r="C1687" s="1"/>
      <x:c r="D1687" s="1"/>
      <x:c r="E1687" s="1"/>
      <x:c r="F1687" s="1"/>
    </x:row>
    <x:row r="1688">
      <x:c r="A1688" s="1"/>
      <x:c r="B1688" s="1"/>
      <x:c r="C1688" s="1"/>
      <x:c r="D1688" s="1"/>
      <x:c r="E1688" s="1"/>
      <x:c r="F1688" s="1"/>
    </x:row>
    <x:row r="1689">
      <x:c r="A1689" s="1"/>
      <x:c r="B1689" s="1"/>
      <x:c r="C1689" s="1"/>
      <x:c r="D1689" s="1"/>
      <x:c r="E1689" s="1"/>
      <x:c r="F1689" s="1"/>
    </x:row>
    <x:row r="1690">
      <x:c r="A1690" s="1"/>
      <x:c r="B1690" s="1"/>
      <x:c r="C1690" s="1"/>
      <x:c r="D1690" s="1"/>
      <x:c r="E1690" s="1"/>
      <x:c r="F1690" s="1"/>
    </x:row>
    <x:row r="1691">
      <x:c r="A1691" s="1"/>
      <x:c r="B1691" s="1"/>
      <x:c r="C1691" s="1"/>
      <x:c r="D1691" s="1"/>
      <x:c r="E1691" s="1"/>
      <x:c r="F1691" s="1"/>
    </x:row>
    <x:row r="1692">
      <x:c r="A1692" s="1"/>
      <x:c r="B1692" s="1"/>
      <x:c r="C1692" s="1"/>
      <x:c r="D1692" s="1"/>
      <x:c r="E1692" s="1"/>
      <x:c r="F1692" s="1"/>
    </x:row>
    <x:row r="1693">
      <x:c r="A1693" s="1"/>
      <x:c r="B1693" s="1"/>
      <x:c r="C1693" s="1"/>
      <x:c r="D1693" s="1"/>
      <x:c r="E1693" s="1"/>
      <x:c r="F1693" s="1"/>
    </x:row>
    <x:row r="1694">
      <x:c r="A1694" s="1"/>
      <x:c r="B1694" s="1"/>
      <x:c r="C1694" s="1"/>
      <x:c r="D1694" s="1"/>
      <x:c r="E1694" s="1"/>
      <x:c r="F1694" s="1"/>
    </x:row>
    <x:row r="1695">
      <x:c r="A1695" s="1"/>
      <x:c r="B1695" s="1"/>
      <x:c r="C1695" s="1"/>
      <x:c r="D1695" s="1"/>
      <x:c r="E1695" s="1"/>
      <x:c r="F1695" s="1"/>
    </x:row>
    <x:row r="1696">
      <x:c r="A1696" s="1"/>
      <x:c r="B1696" s="1"/>
      <x:c r="C1696" s="1"/>
      <x:c r="D1696" s="1"/>
      <x:c r="E1696" s="1"/>
      <x:c r="F1696" s="1"/>
    </x:row>
    <x:row r="1697">
      <x:c r="A1697" s="1"/>
      <x:c r="B1697" s="1"/>
      <x:c r="C1697" s="1"/>
      <x:c r="D1697" s="1"/>
      <x:c r="E1697" s="1"/>
      <x:c r="F1697" s="1"/>
    </x:row>
    <x:row r="1698">
      <x:c r="A1698" s="1"/>
      <x:c r="B1698" s="1"/>
      <x:c r="C1698" s="1"/>
      <x:c r="D1698" s="1"/>
      <x:c r="E1698" s="1"/>
      <x:c r="F1698" s="1"/>
    </x:row>
    <x:row r="1699">
      <x:c r="A1699" s="1"/>
      <x:c r="B1699" s="1"/>
      <x:c r="C1699" s="1"/>
      <x:c r="D1699" s="1"/>
      <x:c r="E1699" s="1"/>
      <x:c r="F1699" s="1"/>
    </x:row>
    <x:row r="1700">
      <x:c r="A1700" s="1"/>
      <x:c r="B1700" s="1"/>
      <x:c r="C1700" s="1"/>
      <x:c r="D1700" s="1"/>
      <x:c r="E1700" s="1"/>
      <x:c r="F1700" s="1"/>
    </x:row>
    <x:row r="1701">
      <x:c r="A1701" s="1"/>
      <x:c r="B1701" s="1"/>
      <x:c r="C1701" s="1"/>
      <x:c r="D1701" s="1"/>
      <x:c r="E1701" s="1"/>
      <x:c r="F1701" s="1"/>
    </x:row>
    <x:row r="1702">
      <x:c r="A1702" s="1"/>
      <x:c r="B1702" s="1"/>
      <x:c r="C1702" s="1"/>
      <x:c r="D1702" s="1"/>
      <x:c r="E1702" s="1"/>
      <x:c r="F1702" s="1"/>
    </x:row>
    <x:row r="1703">
      <x:c r="A1703" s="1"/>
      <x:c r="B1703" s="1"/>
      <x:c r="C1703" s="1"/>
      <x:c r="D1703" s="1"/>
      <x:c r="E1703" s="1"/>
      <x:c r="F1703" s="1"/>
    </x:row>
    <x:row r="1704">
      <x:c r="A1704" s="1"/>
      <x:c r="B1704" s="1"/>
      <x:c r="C1704" s="1"/>
      <x:c r="D1704" s="1"/>
      <x:c r="E1704" s="1"/>
      <x:c r="F1704" s="1"/>
    </x:row>
    <x:row r="1705">
      <x:c r="A1705" s="1"/>
      <x:c r="B1705" s="1"/>
      <x:c r="C1705" s="1"/>
      <x:c r="D1705" s="1"/>
      <x:c r="E1705" s="1"/>
      <x:c r="F1705" s="1"/>
    </x:row>
    <x:row r="1706">
      <x:c r="A1706" s="1"/>
      <x:c r="B1706" s="1"/>
      <x:c r="C1706" s="1"/>
      <x:c r="D1706" s="1"/>
      <x:c r="E1706" s="1"/>
      <x:c r="F1706" s="1"/>
    </x:row>
    <x:row r="1707">
      <x:c r="A1707" s="1"/>
      <x:c r="B1707" s="1"/>
      <x:c r="C1707" s="1"/>
      <x:c r="D1707" s="1"/>
      <x:c r="E1707" s="1"/>
      <x:c r="F1707" s="1"/>
    </x:row>
    <x:row r="1708">
      <x:c r="A1708" s="1"/>
      <x:c r="B1708" s="1"/>
      <x:c r="C1708" s="1"/>
      <x:c r="D1708" s="1"/>
      <x:c r="E1708" s="1"/>
      <x:c r="F1708" s="1"/>
    </x:row>
    <x:row r="1709">
      <x:c r="A1709" s="1"/>
      <x:c r="B1709" s="1"/>
      <x:c r="C1709" s="1"/>
      <x:c r="D1709" s="1"/>
      <x:c r="E1709" s="1"/>
      <x:c r="F1709" s="1"/>
    </x:row>
    <x:row r="1710">
      <x:c r="A1710" s="1"/>
      <x:c r="B1710" s="1"/>
      <x:c r="C1710" s="1"/>
      <x:c r="D1710" s="1"/>
      <x:c r="E1710" s="1"/>
      <x:c r="F1710" s="1"/>
    </x:row>
    <x:row r="1711">
      <x:c r="A1711" s="1"/>
      <x:c r="B1711" s="1"/>
      <x:c r="C1711" s="1"/>
      <x:c r="D1711" s="1"/>
      <x:c r="E1711" s="1"/>
      <x:c r="F1711" s="1"/>
    </x:row>
    <x:row r="1712">
      <x:c r="A1712" s="1"/>
      <x:c r="B1712" s="1"/>
      <x:c r="C1712" s="1"/>
      <x:c r="D1712" s="1"/>
      <x:c r="E1712" s="1"/>
      <x:c r="F1712" s="1"/>
    </x:row>
    <x:row r="1713">
      <x:c r="A1713" s="1"/>
      <x:c r="B1713" s="1"/>
      <x:c r="C1713" s="1"/>
      <x:c r="D1713" s="1"/>
      <x:c r="E1713" s="1"/>
      <x:c r="F1713" s="1"/>
    </x:row>
    <x:row r="1714">
      <x:c r="A1714" s="1"/>
      <x:c r="B1714" s="1"/>
      <x:c r="C1714" s="1"/>
      <x:c r="D1714" s="1"/>
      <x:c r="E1714" s="1"/>
      <x:c r="F1714" s="1"/>
    </x:row>
    <x:row r="1715">
      <x:c r="A1715" s="1"/>
      <x:c r="B1715" s="1"/>
      <x:c r="C1715" s="1"/>
      <x:c r="D1715" s="1"/>
      <x:c r="E1715" s="1"/>
      <x:c r="F1715" s="1"/>
    </x:row>
    <x:row r="1716">
      <x:c r="A1716" s="1"/>
      <x:c r="B1716" s="1"/>
      <x:c r="C1716" s="1"/>
      <x:c r="D1716" s="1"/>
      <x:c r="E1716" s="1"/>
      <x:c r="F1716" s="1"/>
    </x:row>
    <x:row r="1717">
      <x:c r="A1717" s="1"/>
      <x:c r="B1717" s="1"/>
      <x:c r="C1717" s="1"/>
      <x:c r="D1717" s="1"/>
      <x:c r="E1717" s="1"/>
      <x:c r="F1717" s="1"/>
    </x:row>
    <x:row r="1718">
      <x:c r="A1718" s="1"/>
      <x:c r="B1718" s="1"/>
      <x:c r="C1718" s="1"/>
      <x:c r="D1718" s="1"/>
      <x:c r="E1718" s="1"/>
      <x:c r="F1718" s="1"/>
    </x:row>
    <x:row r="1719">
      <x:c r="A1719" s="1"/>
      <x:c r="B1719" s="1"/>
      <x:c r="C1719" s="1"/>
      <x:c r="D1719" s="1"/>
      <x:c r="E1719" s="1"/>
      <x:c r="F1719" s="1"/>
    </x:row>
    <x:row r="1720">
      <x:c r="A1720" s="1"/>
      <x:c r="B1720" s="1"/>
      <x:c r="C1720" s="1"/>
      <x:c r="D1720" s="1"/>
      <x:c r="E1720" s="1"/>
      <x:c r="F1720" s="1"/>
    </x:row>
    <x:row r="1721">
      <x:c r="A1721" s="1"/>
      <x:c r="B1721" s="1"/>
      <x:c r="C1721" s="1"/>
      <x:c r="D1721" s="1"/>
      <x:c r="E1721" s="1"/>
      <x:c r="F1721" s="1"/>
    </x:row>
    <x:row r="1722">
      <x:c r="A1722" s="1"/>
      <x:c r="B1722" s="1"/>
      <x:c r="C1722" s="1"/>
      <x:c r="D1722" s="1"/>
      <x:c r="E1722" s="1"/>
      <x:c r="F1722" s="1"/>
    </x:row>
    <x:row r="1723">
      <x:c r="A1723" s="1"/>
      <x:c r="B1723" s="1"/>
      <x:c r="C1723" s="1"/>
      <x:c r="D1723" s="1"/>
      <x:c r="E1723" s="1"/>
      <x:c r="F1723" s="1"/>
    </x:row>
    <x:row r="1724">
      <x:c r="A1724" s="1"/>
      <x:c r="B1724" s="1"/>
      <x:c r="C1724" s="1"/>
      <x:c r="D1724" s="1"/>
      <x:c r="E1724" s="1"/>
      <x:c r="F1724" s="1"/>
    </x:row>
    <x:row r="1725">
      <x:c r="A1725" s="1"/>
      <x:c r="B1725" s="1"/>
      <x:c r="C1725" s="1"/>
      <x:c r="D1725" s="1"/>
      <x:c r="E1725" s="1"/>
      <x:c r="F1725" s="1"/>
    </x:row>
    <x:row r="1726">
      <x:c r="A1726" s="1"/>
      <x:c r="B1726" s="1"/>
      <x:c r="C1726" s="1"/>
      <x:c r="D1726" s="1"/>
      <x:c r="E1726" s="1"/>
      <x:c r="F1726" s="1"/>
    </x:row>
    <x:row r="1727">
      <x:c r="A1727" s="1"/>
      <x:c r="B1727" s="1"/>
      <x:c r="C1727" s="1"/>
      <x:c r="D1727" s="1"/>
      <x:c r="E1727" s="1"/>
      <x:c r="F1727" s="1"/>
    </x:row>
    <x:row r="1728">
      <x:c r="A1728" s="1"/>
      <x:c r="B1728" s="1"/>
      <x:c r="C1728" s="1"/>
      <x:c r="D1728" s="1"/>
      <x:c r="E1728" s="1"/>
      <x:c r="F1728" s="1"/>
    </x:row>
    <x:row r="1729">
      <x:c r="A1729" s="1"/>
      <x:c r="B1729" s="1"/>
      <x:c r="C1729" s="1"/>
      <x:c r="D1729" s="1"/>
      <x:c r="E1729" s="1"/>
      <x:c r="F1729" s="1"/>
    </x:row>
    <x:row r="1730">
      <x:c r="A1730" s="1"/>
      <x:c r="B1730" s="1"/>
      <x:c r="C1730" s="1"/>
      <x:c r="D1730" s="1"/>
      <x:c r="E1730" s="1"/>
      <x:c r="F1730" s="1"/>
    </x:row>
    <x:row r="1731">
      <x:c r="A1731" s="1"/>
      <x:c r="B1731" s="1"/>
      <x:c r="C1731" s="1"/>
      <x:c r="D1731" s="1"/>
      <x:c r="E1731" s="1"/>
      <x:c r="F1731" s="1"/>
    </x:row>
    <x:row r="1732">
      <x:c r="A1732" s="1"/>
      <x:c r="B1732" s="1"/>
      <x:c r="C1732" s="1"/>
      <x:c r="D1732" s="1"/>
      <x:c r="E1732" s="1"/>
      <x:c r="F1732" s="1"/>
    </x:row>
    <x:row r="1733">
      <x:c r="A1733" s="1"/>
      <x:c r="B1733" s="1"/>
      <x:c r="C1733" s="1"/>
      <x:c r="D1733" s="1"/>
      <x:c r="E1733" s="1"/>
      <x:c r="F1733" s="1"/>
    </x:row>
    <x:row r="1734">
      <x:c r="A1734" s="1"/>
      <x:c r="B1734" s="1"/>
      <x:c r="C1734" s="1"/>
      <x:c r="D1734" s="1"/>
      <x:c r="E1734" s="1"/>
      <x:c r="F1734" s="1"/>
    </x:row>
    <x:row r="1735">
      <x:c r="A1735" s="1"/>
      <x:c r="B1735" s="1"/>
      <x:c r="C1735" s="1"/>
      <x:c r="D1735" s="1"/>
      <x:c r="E1735" s="1"/>
      <x:c r="F1735" s="1"/>
    </x:row>
    <x:row r="1736">
      <x:c r="A1736" s="1"/>
      <x:c r="B1736" s="1"/>
      <x:c r="C1736" s="1"/>
      <x:c r="D1736" s="1"/>
      <x:c r="E1736" s="1"/>
      <x:c r="F1736" s="1"/>
    </x:row>
    <x:row r="1737">
      <x:c r="A1737" s="1"/>
      <x:c r="B1737" s="1"/>
      <x:c r="C1737" s="1"/>
      <x:c r="D1737" s="1"/>
      <x:c r="E1737" s="1"/>
      <x:c r="F1737" s="1"/>
    </x:row>
    <x:row r="1738">
      <x:c r="A1738" s="1"/>
      <x:c r="B1738" s="1"/>
      <x:c r="C1738" s="1"/>
      <x:c r="D1738" s="1"/>
      <x:c r="E1738" s="1"/>
      <x:c r="F1738" s="1"/>
    </x:row>
    <x:row r="1739">
      <x:c r="A1739" s="1"/>
      <x:c r="B1739" s="1"/>
      <x:c r="C1739" s="1"/>
      <x:c r="D1739" s="1"/>
      <x:c r="E1739" s="1"/>
      <x:c r="F1739" s="1"/>
    </x:row>
    <x:row r="1740">
      <x:c r="A1740" s="1"/>
      <x:c r="B1740" s="1"/>
      <x:c r="C1740" s="1"/>
      <x:c r="D1740" s="1"/>
      <x:c r="E1740" s="1"/>
      <x:c r="F1740" s="1"/>
    </x:row>
    <x:row r="1741">
      <x:c r="A1741" s="1"/>
      <x:c r="B1741" s="1"/>
      <x:c r="C1741" s="1"/>
      <x:c r="D1741" s="1"/>
      <x:c r="E1741" s="1"/>
      <x:c r="F1741" s="1"/>
    </x:row>
    <x:row r="1742">
      <x:c r="A1742" s="1"/>
      <x:c r="B1742" s="1"/>
      <x:c r="C1742" s="1"/>
      <x:c r="D1742" s="1"/>
      <x:c r="E1742" s="1"/>
      <x:c r="F1742" s="1"/>
    </x:row>
    <x:row r="1743">
      <x:c r="A1743" s="1"/>
      <x:c r="B1743" s="1"/>
      <x:c r="C1743" s="1"/>
      <x:c r="D1743" s="1"/>
      <x:c r="E1743" s="1"/>
      <x:c r="F1743" s="1"/>
    </x:row>
    <x:row r="1744">
      <x:c r="A1744" s="1"/>
      <x:c r="B1744" s="1"/>
      <x:c r="C1744" s="1"/>
      <x:c r="D1744" s="1"/>
      <x:c r="E1744" s="1"/>
      <x:c r="F1744" s="1"/>
    </x:row>
    <x:row r="1745">
      <x:c r="A1745" s="1"/>
      <x:c r="B1745" s="1"/>
      <x:c r="C1745" s="1"/>
      <x:c r="D1745" s="1"/>
      <x:c r="E1745" s="1"/>
      <x:c r="F1745" s="1"/>
    </x:row>
    <x:row r="1746">
      <x:c r="A1746" s="1"/>
      <x:c r="B1746" s="1"/>
      <x:c r="C1746" s="1"/>
      <x:c r="D1746" s="1"/>
      <x:c r="E1746" s="1"/>
      <x:c r="F1746" s="1"/>
    </x:row>
    <x:row r="1747">
      <x:c r="A1747" s="1"/>
      <x:c r="B1747" s="1"/>
      <x:c r="C1747" s="1"/>
      <x:c r="D1747" s="1"/>
      <x:c r="E1747" s="1"/>
      <x:c r="F1747" s="1"/>
    </x:row>
    <x:row r="1748">
      <x:c r="A1748" s="1"/>
      <x:c r="B1748" s="1"/>
      <x:c r="C1748" s="1"/>
      <x:c r="D1748" s="1"/>
      <x:c r="E1748" s="1"/>
      <x:c r="F1748" s="1"/>
    </x:row>
    <x:row r="1749">
      <x:c r="A1749" s="1"/>
      <x:c r="B1749" s="1"/>
      <x:c r="C1749" s="1"/>
      <x:c r="D1749" s="1"/>
      <x:c r="E1749" s="1"/>
      <x:c r="F1749" s="1"/>
    </x:row>
    <x:row r="1750">
      <x:c r="A1750" s="1"/>
      <x:c r="B1750" s="1"/>
      <x:c r="C1750" s="1"/>
      <x:c r="D1750" s="1"/>
      <x:c r="E1750" s="1"/>
      <x:c r="F1750" s="1"/>
    </x:row>
    <x:row r="1751">
      <x:c r="A1751" s="1"/>
      <x:c r="B1751" s="1"/>
      <x:c r="C1751" s="1"/>
      <x:c r="D1751" s="1"/>
      <x:c r="E1751" s="1"/>
      <x:c r="F1751" s="1"/>
    </x:row>
    <x:row r="1752">
      <x:c r="A1752" s="1"/>
      <x:c r="B1752" s="1"/>
      <x:c r="C1752" s="1"/>
      <x:c r="D1752" s="1"/>
      <x:c r="E1752" s="1"/>
      <x:c r="F1752" s="1"/>
    </x:row>
    <x:row r="1753">
      <x:c r="A1753" s="1"/>
      <x:c r="B1753" s="1"/>
      <x:c r="C1753" s="1"/>
      <x:c r="D1753" s="1"/>
      <x:c r="E1753" s="1"/>
      <x:c r="F1753" s="1"/>
    </x:row>
    <x:row r="1754">
      <x:c r="A1754" s="1"/>
      <x:c r="B1754" s="1"/>
      <x:c r="C1754" s="1"/>
      <x:c r="D1754" s="1"/>
      <x:c r="E1754" s="1"/>
      <x:c r="F1754" s="1"/>
    </x:row>
    <x:row r="1755">
      <x:c r="A1755" s="1"/>
      <x:c r="B1755" s="1"/>
      <x:c r="C1755" s="1"/>
      <x:c r="D1755" s="1"/>
      <x:c r="E1755" s="1"/>
      <x:c r="F1755" s="1"/>
    </x:row>
    <x:row r="1756">
      <x:c r="A1756" s="1"/>
      <x:c r="B1756" s="1"/>
      <x:c r="C1756" s="1"/>
      <x:c r="D1756" s="1"/>
      <x:c r="E1756" s="1"/>
      <x:c r="F1756" s="1"/>
    </x:row>
    <x:row r="1757">
      <x:c r="A1757" s="1"/>
      <x:c r="B1757" s="1"/>
      <x:c r="C1757" s="1"/>
      <x:c r="D1757" s="1"/>
      <x:c r="E1757" s="1"/>
      <x:c r="F1757" s="1"/>
    </x:row>
    <x:row r="1758">
      <x:c r="A1758" s="1"/>
      <x:c r="B1758" s="1"/>
      <x:c r="C1758" s="1"/>
      <x:c r="D1758" s="1"/>
      <x:c r="E1758" s="1"/>
      <x:c r="F1758" s="1"/>
    </x:row>
    <x:row r="1759">
      <x:c r="A1759" s="1"/>
      <x:c r="B1759" s="1"/>
      <x:c r="C1759" s="1"/>
      <x:c r="D1759" s="1"/>
      <x:c r="E1759" s="1"/>
      <x:c r="F1759" s="1"/>
    </x:row>
    <x:row r="1760">
      <x:c r="A1760" s="1"/>
      <x:c r="B1760" s="1"/>
      <x:c r="C1760" s="1"/>
      <x:c r="D1760" s="1"/>
      <x:c r="E1760" s="1"/>
      <x:c r="F1760" s="1"/>
    </x:row>
    <x:row r="1761">
      <x:c r="A1761" s="1"/>
      <x:c r="B1761" s="1"/>
      <x:c r="C1761" s="1"/>
      <x:c r="D1761" s="1"/>
      <x:c r="E1761" s="1"/>
      <x:c r="F1761" s="1"/>
    </x:row>
    <x:row r="1762">
      <x:c r="A1762" s="1"/>
      <x:c r="B1762" s="1"/>
      <x:c r="C1762" s="1"/>
      <x:c r="D1762" s="1"/>
      <x:c r="E1762" s="1"/>
      <x:c r="F1762" s="1"/>
    </x:row>
    <x:row r="1763">
      <x:c r="A1763" s="1"/>
      <x:c r="B1763" s="1"/>
      <x:c r="C1763" s="1"/>
      <x:c r="D1763" s="1"/>
      <x:c r="E1763" s="1"/>
      <x:c r="F1763" s="1"/>
    </x:row>
    <x:row r="1764">
      <x:c r="A1764" s="1"/>
      <x:c r="B1764" s="1"/>
      <x:c r="C1764" s="1"/>
      <x:c r="D1764" s="1"/>
      <x:c r="E1764" s="1"/>
      <x:c r="F1764" s="1"/>
    </x:row>
    <x:row r="1765">
      <x:c r="A1765" s="1"/>
      <x:c r="B1765" s="1"/>
      <x:c r="C1765" s="1"/>
      <x:c r="D1765" s="1"/>
      <x:c r="E1765" s="1"/>
      <x:c r="F1765" s="1"/>
    </x:row>
    <x:row r="1766">
      <x:c r="A1766" s="1"/>
      <x:c r="B1766" s="1"/>
      <x:c r="C1766" s="1"/>
      <x:c r="D1766" s="1"/>
      <x:c r="E1766" s="1"/>
      <x:c r="F1766" s="1"/>
    </x:row>
    <x:row r="1767">
      <x:c r="A1767" s="1"/>
      <x:c r="B1767" s="1"/>
      <x:c r="C1767" s="1"/>
      <x:c r="D1767" s="1"/>
      <x:c r="E1767" s="1"/>
      <x:c r="F1767" s="1"/>
    </x:row>
    <x:row r="1768">
      <x:c r="A1768" s="1"/>
      <x:c r="B1768" s="1"/>
      <x:c r="C1768" s="1"/>
      <x:c r="D1768" s="1"/>
      <x:c r="E1768" s="1"/>
      <x:c r="F1768" s="1"/>
    </x:row>
    <x:row r="1769">
      <x:c r="A1769" s="1"/>
      <x:c r="B1769" s="1"/>
      <x:c r="C1769" s="1"/>
      <x:c r="D1769" s="1"/>
      <x:c r="E1769" s="1"/>
      <x:c r="F1769" s="1"/>
    </x:row>
    <x:row r="1770">
      <x:c r="A1770" s="1"/>
      <x:c r="B1770" s="1"/>
      <x:c r="C1770" s="1"/>
      <x:c r="D1770" s="1"/>
      <x:c r="E1770" s="1"/>
      <x:c r="F1770" s="1"/>
    </x:row>
    <x:row r="1771">
      <x:c r="A1771" s="1"/>
      <x:c r="B1771" s="1"/>
      <x:c r="C1771" s="1"/>
      <x:c r="D1771" s="1"/>
      <x:c r="E1771" s="1"/>
      <x:c r="F1771" s="1"/>
    </x:row>
    <x:row r="1772">
      <x:c r="A1772" s="1"/>
      <x:c r="B1772" s="1"/>
      <x:c r="C1772" s="1"/>
      <x:c r="D1772" s="1"/>
      <x:c r="E1772" s="1"/>
      <x:c r="F1772" s="1"/>
    </x:row>
    <x:row r="1773">
      <x:c r="A1773" s="1"/>
      <x:c r="B1773" s="1"/>
      <x:c r="C1773" s="1"/>
      <x:c r="D1773" s="1"/>
      <x:c r="E1773" s="1"/>
      <x:c r="F1773" s="1"/>
    </x:row>
    <x:row r="1774">
      <x:c r="A1774" s="1"/>
      <x:c r="B1774" s="1"/>
      <x:c r="C1774" s="1"/>
      <x:c r="D1774" s="1"/>
      <x:c r="E1774" s="1"/>
      <x:c r="F1774" s="1"/>
    </x:row>
    <x:row r="1775">
      <x:c r="A1775" s="1"/>
      <x:c r="B1775" s="1"/>
      <x:c r="C1775" s="1"/>
      <x:c r="D1775" s="1"/>
      <x:c r="E1775" s="1"/>
      <x:c r="F1775" s="1"/>
    </x:row>
    <x:row r="1776">
      <x:c r="A1776" s="1"/>
      <x:c r="B1776" s="1"/>
      <x:c r="C1776" s="1"/>
      <x:c r="D1776" s="1"/>
      <x:c r="E1776" s="1"/>
      <x:c r="F1776" s="1"/>
    </x:row>
    <x:row r="1777">
      <x:c r="A1777" s="1"/>
      <x:c r="B1777" s="1"/>
      <x:c r="C1777" s="1"/>
      <x:c r="D1777" s="1"/>
      <x:c r="E1777" s="1"/>
      <x:c r="F1777" s="1"/>
    </x:row>
    <x:row r="1778">
      <x:c r="A1778" s="1"/>
      <x:c r="B1778" s="1"/>
      <x:c r="C1778" s="1"/>
      <x:c r="D1778" s="1"/>
      <x:c r="E1778" s="1"/>
      <x:c r="F1778" s="1"/>
    </x:row>
    <x:row r="1779">
      <x:c r="A1779" s="1"/>
      <x:c r="B1779" s="1"/>
      <x:c r="C1779" s="1"/>
      <x:c r="D1779" s="1"/>
      <x:c r="E1779" s="1"/>
      <x:c r="F1779" s="1"/>
    </x:row>
    <x:row r="1780">
      <x:c r="A1780" s="1"/>
      <x:c r="B1780" s="1"/>
      <x:c r="C1780" s="1"/>
      <x:c r="D1780" s="1"/>
      <x:c r="E1780" s="1"/>
      <x:c r="F1780" s="1"/>
    </x:row>
    <x:row r="1781">
      <x:c r="A1781" s="1"/>
      <x:c r="B1781" s="1"/>
      <x:c r="C1781" s="1"/>
      <x:c r="D1781" s="1"/>
      <x:c r="E1781" s="1"/>
      <x:c r="F1781" s="1"/>
    </x:row>
    <x:row r="1782">
      <x:c r="A1782" s="1"/>
      <x:c r="B1782" s="1"/>
      <x:c r="C1782" s="1"/>
      <x:c r="D1782" s="1"/>
      <x:c r="E1782" s="1"/>
      <x:c r="F1782" s="1"/>
    </x:row>
    <x:row r="1783">
      <x:c r="A1783" s="1"/>
      <x:c r="B1783" s="1"/>
      <x:c r="C1783" s="1"/>
      <x:c r="D1783" s="1"/>
      <x:c r="E1783" s="1"/>
      <x:c r="F1783" s="1"/>
    </x:row>
    <x:row r="1784">
      <x:c r="A1784" s="1"/>
      <x:c r="B1784" s="1"/>
      <x:c r="C1784" s="1"/>
      <x:c r="D1784" s="1"/>
      <x:c r="E1784" s="1"/>
      <x:c r="F1784" s="1"/>
    </x:row>
    <x:row r="1785">
      <x:c r="A1785" s="1"/>
      <x:c r="B1785" s="1"/>
      <x:c r="C1785" s="1"/>
      <x:c r="D1785" s="1"/>
      <x:c r="E1785" s="1"/>
      <x:c r="F1785" s="1"/>
    </x:row>
    <x:row r="1786">
      <x:c r="A1786" s="1"/>
      <x:c r="B1786" s="1"/>
      <x:c r="C1786" s="1"/>
      <x:c r="D1786" s="1"/>
      <x:c r="E1786" s="1"/>
      <x:c r="F1786" s="1"/>
    </x:row>
    <x:row r="1787">
      <x:c r="A1787" s="1"/>
      <x:c r="B1787" s="1"/>
      <x:c r="C1787" s="1"/>
      <x:c r="D1787" s="1"/>
      <x:c r="E1787" s="1"/>
      <x:c r="F1787" s="1"/>
    </x:row>
    <x:row r="1788">
      <x:c r="A1788" s="1"/>
      <x:c r="B1788" s="1"/>
      <x:c r="C1788" s="1"/>
      <x:c r="D1788" s="1"/>
      <x:c r="E1788" s="1"/>
      <x:c r="F1788" s="1"/>
    </x:row>
    <x:row r="1789">
      <x:c r="A1789" s="1"/>
      <x:c r="B1789" s="1"/>
      <x:c r="C1789" s="1"/>
      <x:c r="D1789" s="1"/>
      <x:c r="E1789" s="1"/>
      <x:c r="F1789" s="1"/>
    </x:row>
    <x:row r="1790">
      <x:c r="A1790" s="1"/>
      <x:c r="B1790" s="1"/>
      <x:c r="C1790" s="1"/>
      <x:c r="D1790" s="1"/>
      <x:c r="E1790" s="1"/>
      <x:c r="F1790" s="1"/>
    </x:row>
    <x:row r="1791">
      <x:c r="A1791" s="1"/>
      <x:c r="B1791" s="1"/>
      <x:c r="C1791" s="1"/>
      <x:c r="D1791" s="1"/>
      <x:c r="E1791" s="1"/>
      <x:c r="F1791" s="1"/>
    </x:row>
    <x:row r="1792">
      <x:c r="A1792" s="1"/>
      <x:c r="B1792" s="1"/>
      <x:c r="C1792" s="1"/>
      <x:c r="D1792" s="1"/>
      <x:c r="E1792" s="1"/>
      <x:c r="F1792" s="1"/>
    </x:row>
    <x:row r="1793">
      <x:c r="A1793" s="1"/>
      <x:c r="B1793" s="1"/>
      <x:c r="C1793" s="1"/>
      <x:c r="D1793" s="1"/>
      <x:c r="E1793" s="1"/>
      <x:c r="F1793" s="1"/>
    </x:row>
    <x:row r="1794">
      <x:c r="A1794" s="1"/>
      <x:c r="B1794" s="1"/>
      <x:c r="C1794" s="1"/>
      <x:c r="D1794" s="1"/>
      <x:c r="E1794" s="1"/>
      <x:c r="F1794" s="1"/>
    </x:row>
    <x:row r="1795">
      <x:c r="A1795" s="1"/>
      <x:c r="B1795" s="1"/>
      <x:c r="C1795" s="1"/>
      <x:c r="D1795" s="1"/>
      <x:c r="E1795" s="1"/>
      <x:c r="F1795" s="1"/>
    </x:row>
    <x:row r="1796">
      <x:c r="A1796" s="1"/>
      <x:c r="B1796" s="1"/>
      <x:c r="C1796" s="1"/>
      <x:c r="D1796" s="1"/>
      <x:c r="E1796" s="1"/>
      <x:c r="F1796" s="1"/>
    </x:row>
    <x:row r="1797">
      <x:c r="A1797" s="1"/>
      <x:c r="B1797" s="1"/>
      <x:c r="C1797" s="1"/>
      <x:c r="D1797" s="1"/>
      <x:c r="E1797" s="1"/>
      <x:c r="F1797" s="1"/>
    </x:row>
    <x:row r="1798">
      <x:c r="A1798" s="1"/>
      <x:c r="B1798" s="1"/>
      <x:c r="C1798" s="1"/>
      <x:c r="D1798" s="1"/>
      <x:c r="E1798" s="1"/>
      <x:c r="F1798" s="1"/>
    </x:row>
    <x:row r="1799">
      <x:c r="A1799" s="1"/>
      <x:c r="B1799" s="1"/>
      <x:c r="C1799" s="1"/>
      <x:c r="D1799" s="1"/>
      <x:c r="E1799" s="1"/>
      <x:c r="F1799" s="1"/>
    </x:row>
    <x:row r="1800">
      <x:c r="A1800" s="1"/>
      <x:c r="B1800" s="1"/>
      <x:c r="C1800" s="1"/>
      <x:c r="D1800" s="1"/>
      <x:c r="E1800" s="1"/>
      <x:c r="F1800" s="1"/>
    </x:row>
    <x:row r="1801">
      <x:c r="A1801" s="1"/>
      <x:c r="B1801" s="1"/>
      <x:c r="C1801" s="1"/>
      <x:c r="D1801" s="1"/>
      <x:c r="E1801" s="1"/>
      <x:c r="F1801" s="1"/>
    </x:row>
    <x:row r="1802">
      <x:c r="A1802" s="1"/>
      <x:c r="B1802" s="1"/>
      <x:c r="C1802" s="1"/>
      <x:c r="D1802" s="1"/>
      <x:c r="E1802" s="1"/>
      <x:c r="F1802" s="1"/>
    </x:row>
    <x:row r="1803">
      <x:c r="A1803" s="1"/>
      <x:c r="B1803" s="1"/>
      <x:c r="C1803" s="1"/>
      <x:c r="D1803" s="1"/>
      <x:c r="E1803" s="1"/>
      <x:c r="F1803" s="1"/>
    </x:row>
    <x:row r="1804">
      <x:c r="A1804" s="1"/>
      <x:c r="B1804" s="1"/>
      <x:c r="C1804" s="1"/>
      <x:c r="D1804" s="1"/>
      <x:c r="E1804" s="1"/>
      <x:c r="F1804" s="1"/>
    </x:row>
    <x:row r="1805">
      <x:c r="A1805" s="1"/>
      <x:c r="B1805" s="1"/>
      <x:c r="C1805" s="1"/>
      <x:c r="D1805" s="1"/>
      <x:c r="E1805" s="1"/>
      <x:c r="F1805" s="1"/>
    </x:row>
    <x:row r="1806">
      <x:c r="A1806" s="1"/>
      <x:c r="B1806" s="1"/>
      <x:c r="C1806" s="1"/>
      <x:c r="D1806" s="1"/>
      <x:c r="E1806" s="1"/>
      <x:c r="F1806" s="1"/>
    </x:row>
    <x:row r="1807">
      <x:c r="A1807" s="1"/>
      <x:c r="B1807" s="1"/>
      <x:c r="C1807" s="1"/>
      <x:c r="D1807" s="1"/>
      <x:c r="E1807" s="1"/>
      <x:c r="F1807" s="1"/>
    </x:row>
    <x:row r="1808">
      <x:c r="A1808" s="1"/>
      <x:c r="B1808" s="1"/>
      <x:c r="C1808" s="1"/>
      <x:c r="D1808" s="1"/>
      <x:c r="E1808" s="1"/>
      <x:c r="F1808" s="1"/>
    </x:row>
    <x:row r="1809">
      <x:c r="A1809" s="1"/>
      <x:c r="B1809" s="1"/>
      <x:c r="C1809" s="1"/>
      <x:c r="D1809" s="1"/>
      <x:c r="E1809" s="1"/>
      <x:c r="F1809" s="1"/>
    </x:row>
    <x:row r="1810">
      <x:c r="A1810" s="1"/>
      <x:c r="B1810" s="1"/>
      <x:c r="C1810" s="1"/>
      <x:c r="D1810" s="1"/>
      <x:c r="E1810" s="1"/>
      <x:c r="F1810" s="1"/>
    </x:row>
    <x:row r="1811">
      <x:c r="A1811" s="1"/>
      <x:c r="B1811" s="1"/>
      <x:c r="C1811" s="1"/>
      <x:c r="D1811" s="1"/>
      <x:c r="E1811" s="1"/>
      <x:c r="F1811" s="1"/>
    </x:row>
    <x:row r="1812">
      <x:c r="A1812" s="1"/>
      <x:c r="B1812" s="1"/>
      <x:c r="C1812" s="1"/>
      <x:c r="D1812" s="1"/>
      <x:c r="E1812" s="1"/>
      <x:c r="F1812" s="1"/>
    </x:row>
    <x:row r="1813">
      <x:c r="A1813" s="1"/>
      <x:c r="B1813" s="1"/>
      <x:c r="C1813" s="1"/>
      <x:c r="D1813" s="1"/>
      <x:c r="E1813" s="1"/>
      <x:c r="F1813" s="1"/>
    </x:row>
    <x:row r="1814">
      <x:c r="A1814" s="1"/>
      <x:c r="B1814" s="1"/>
      <x:c r="C1814" s="1"/>
      <x:c r="D1814" s="1"/>
      <x:c r="E1814" s="1"/>
      <x:c r="F1814" s="1"/>
    </x:row>
    <x:row r="1815">
      <x:c r="A1815" s="1"/>
      <x:c r="B1815" s="1"/>
      <x:c r="C1815" s="1"/>
      <x:c r="D1815" s="1"/>
      <x:c r="E1815" s="1"/>
      <x:c r="F1815" s="1"/>
    </x:row>
    <x:row r="1816">
      <x:c r="A1816" s="1"/>
      <x:c r="B1816" s="1"/>
      <x:c r="C1816" s="1"/>
      <x:c r="D1816" s="1"/>
      <x:c r="E1816" s="1"/>
      <x:c r="F1816" s="1"/>
    </x:row>
    <x:row r="1817">
      <x:c r="A1817" s="1"/>
      <x:c r="B1817" s="1"/>
      <x:c r="C1817" s="1"/>
      <x:c r="D1817" s="1"/>
      <x:c r="E1817" s="1"/>
      <x:c r="F1817" s="1"/>
    </x:row>
    <x:row r="1818">
      <x:c r="A1818" s="1"/>
      <x:c r="B1818" s="1"/>
      <x:c r="C1818" s="1"/>
      <x:c r="D1818" s="1"/>
      <x:c r="E1818" s="1"/>
      <x:c r="F1818" s="1"/>
    </x:row>
    <x:row r="1819">
      <x:c r="A1819" s="1"/>
      <x:c r="B1819" s="1"/>
      <x:c r="C1819" s="1"/>
      <x:c r="D1819" s="1"/>
      <x:c r="E1819" s="1"/>
      <x:c r="F1819" s="1"/>
    </x:row>
    <x:row r="1820">
      <x:c r="A1820" s="1"/>
      <x:c r="B1820" s="1"/>
      <x:c r="C1820" s="1"/>
      <x:c r="D1820" s="1"/>
      <x:c r="E1820" s="1"/>
      <x:c r="F1820" s="1"/>
    </x:row>
    <x:row r="1821">
      <x:c r="A1821" s="1"/>
      <x:c r="B1821" s="1"/>
      <x:c r="C1821" s="1"/>
      <x:c r="D1821" s="1"/>
      <x:c r="E1821" s="1"/>
      <x:c r="F1821" s="1"/>
    </x:row>
    <x:row r="1822">
      <x:c r="A1822" s="1"/>
      <x:c r="B1822" s="1"/>
      <x:c r="C1822" s="1"/>
      <x:c r="D1822" s="1"/>
      <x:c r="E1822" s="1"/>
      <x:c r="F1822" s="1"/>
    </x:row>
    <x:row r="1823">
      <x:c r="A1823" s="1"/>
      <x:c r="B1823" s="1"/>
      <x:c r="C1823" s="1"/>
      <x:c r="D1823" s="1"/>
      <x:c r="E1823" s="1"/>
      <x:c r="F1823" s="1"/>
    </x:row>
    <x:row r="1824">
      <x:c r="A1824" s="1"/>
      <x:c r="B1824" s="1"/>
      <x:c r="C1824" s="1"/>
      <x:c r="D1824" s="1"/>
      <x:c r="E1824" s="1"/>
      <x:c r="F1824" s="1"/>
    </x:row>
    <x:row r="1825">
      <x:c r="A1825" s="1"/>
      <x:c r="B1825" s="1"/>
      <x:c r="C1825" s="1"/>
      <x:c r="D1825" s="1"/>
      <x:c r="E1825" s="1"/>
      <x:c r="F1825" s="1"/>
    </x:row>
    <x:row r="1826">
      <x:c r="A1826" s="1"/>
      <x:c r="B1826" s="1"/>
      <x:c r="C1826" s="1"/>
      <x:c r="D1826" s="1"/>
      <x:c r="E1826" s="1"/>
      <x:c r="F1826" s="1"/>
    </x:row>
    <x:row r="1827">
      <x:c r="A1827" s="1"/>
      <x:c r="B1827" s="1"/>
      <x:c r="C1827" s="1"/>
      <x:c r="D1827" s="1"/>
      <x:c r="E1827" s="1"/>
      <x:c r="F1827" s="1"/>
    </x:row>
    <x:row r="1828">
      <x:c r="A1828" s="1"/>
      <x:c r="B1828" s="1"/>
      <x:c r="C1828" s="1"/>
      <x:c r="D1828" s="1"/>
      <x:c r="E1828" s="1"/>
      <x:c r="F1828" s="1"/>
    </x:row>
    <x:row r="1829">
      <x:c r="A1829" s="1"/>
      <x:c r="B1829" s="1"/>
      <x:c r="C1829" s="1"/>
      <x:c r="D1829" s="1"/>
      <x:c r="E1829" s="1"/>
      <x:c r="F1829" s="1"/>
    </x:row>
    <x:row r="1830">
      <x:c r="A1830" s="1"/>
      <x:c r="B1830" s="1"/>
      <x:c r="C1830" s="1"/>
      <x:c r="D1830" s="1"/>
      <x:c r="E1830" s="1"/>
      <x:c r="F1830" s="1"/>
    </x:row>
    <x:row r="1831">
      <x:c r="A1831" s="1"/>
      <x:c r="B1831" s="1"/>
      <x:c r="C1831" s="1"/>
      <x:c r="D1831" s="1"/>
      <x:c r="E1831" s="1"/>
      <x:c r="F1831" s="1"/>
    </x:row>
    <x:row r="1832">
      <x:c r="A1832" s="1"/>
      <x:c r="B1832" s="1"/>
      <x:c r="C1832" s="1"/>
      <x:c r="D1832" s="1"/>
      <x:c r="E1832" s="1"/>
      <x:c r="F1832" s="1"/>
    </x:row>
    <x:row r="1833">
      <x:c r="A1833" s="1"/>
      <x:c r="B1833" s="1"/>
      <x:c r="C1833" s="1"/>
      <x:c r="D1833" s="1"/>
      <x:c r="E1833" s="1"/>
      <x:c r="F1833" s="1"/>
    </x:row>
    <x:row r="1834">
      <x:c r="A1834" s="1"/>
      <x:c r="B1834" s="1"/>
      <x:c r="C1834" s="1"/>
      <x:c r="D1834" s="1"/>
      <x:c r="E1834" s="1"/>
      <x:c r="F1834" s="1"/>
    </x:row>
    <x:row r="1835">
      <x:c r="A1835" s="1"/>
      <x:c r="B1835" s="1"/>
      <x:c r="C1835" s="1"/>
      <x:c r="D1835" s="1"/>
      <x:c r="E1835" s="1"/>
      <x:c r="F1835" s="1"/>
    </x:row>
    <x:row r="1836">
      <x:c r="A1836" s="1"/>
      <x:c r="B1836" s="1"/>
      <x:c r="C1836" s="1"/>
      <x:c r="D1836" s="1"/>
      <x:c r="E1836" s="1"/>
      <x:c r="F1836" s="1"/>
    </x:row>
    <x:row r="1837">
      <x:c r="A1837" s="1"/>
      <x:c r="B1837" s="1"/>
      <x:c r="C1837" s="1"/>
      <x:c r="D1837" s="1"/>
      <x:c r="E1837" s="1"/>
      <x:c r="F1837" s="1"/>
    </x:row>
    <x:row r="1838">
      <x:c r="A1838" s="1"/>
      <x:c r="B1838" s="1"/>
      <x:c r="C1838" s="1"/>
      <x:c r="D1838" s="1"/>
      <x:c r="E1838" s="1"/>
      <x:c r="F1838" s="1"/>
    </x:row>
    <x:row r="1839">
      <x:c r="A1839" s="1"/>
      <x:c r="B1839" s="1"/>
      <x:c r="C1839" s="1"/>
      <x:c r="D1839" s="1"/>
      <x:c r="E1839" s="1"/>
      <x:c r="F1839" s="1"/>
    </x:row>
    <x:row r="1840">
      <x:c r="A1840" s="1"/>
      <x:c r="B1840" s="1"/>
      <x:c r="C1840" s="1"/>
      <x:c r="D1840" s="1"/>
      <x:c r="E1840" s="1"/>
      <x:c r="F1840" s="1"/>
    </x:row>
    <x:row r="1841">
      <x:c r="A1841" s="1"/>
      <x:c r="B1841" s="1"/>
      <x:c r="C1841" s="1"/>
      <x:c r="D1841" s="1"/>
      <x:c r="E1841" s="1"/>
      <x:c r="F1841" s="1"/>
    </x:row>
    <x:row r="1842">
      <x:c r="A1842" s="1"/>
      <x:c r="B1842" s="1"/>
      <x:c r="C1842" s="1"/>
      <x:c r="D1842" s="1"/>
      <x:c r="E1842" s="1"/>
      <x:c r="F1842" s="1"/>
    </x:row>
    <x:row r="1843">
      <x:c r="A1843" s="1"/>
      <x:c r="B1843" s="1"/>
      <x:c r="C1843" s="1"/>
      <x:c r="D1843" s="1"/>
      <x:c r="E1843" s="1"/>
      <x:c r="F1843" s="1"/>
    </x:row>
    <x:row r="1844">
      <x:c r="A1844" s="1"/>
      <x:c r="B1844" s="1"/>
      <x:c r="C1844" s="1"/>
      <x:c r="D1844" s="1"/>
      <x:c r="E1844" s="1"/>
      <x:c r="F1844" s="1"/>
    </x:row>
    <x:row r="1845">
      <x:c r="A1845" s="1"/>
      <x:c r="B1845" s="1"/>
      <x:c r="C1845" s="1"/>
      <x:c r="D1845" s="1"/>
      <x:c r="E1845" s="1"/>
      <x:c r="F1845" s="1"/>
    </x:row>
    <x:row r="1846">
      <x:c r="A1846" s="1"/>
      <x:c r="B1846" s="1"/>
      <x:c r="C1846" s="1"/>
      <x:c r="D1846" s="1"/>
      <x:c r="E1846" s="1"/>
      <x:c r="F1846" s="1"/>
    </x:row>
    <x:row r="1847">
      <x:c r="A1847" s="1"/>
      <x:c r="B1847" s="1"/>
      <x:c r="C1847" s="1"/>
      <x:c r="D1847" s="1"/>
      <x:c r="E1847" s="1"/>
      <x:c r="F1847" s="1"/>
    </x:row>
    <x:row r="1848">
      <x:c r="A1848" s="1"/>
      <x:c r="B1848" s="1"/>
      <x:c r="C1848" s="1"/>
      <x:c r="D1848" s="1"/>
      <x:c r="E1848" s="1"/>
      <x:c r="F1848" s="1"/>
    </x:row>
    <x:row r="1849">
      <x:c r="A1849" s="1"/>
      <x:c r="B1849" s="1"/>
      <x:c r="C1849" s="1"/>
      <x:c r="D1849" s="1"/>
      <x:c r="E1849" s="1"/>
      <x:c r="F1849" s="1"/>
    </x:row>
    <x:row r="1850">
      <x:c r="A1850" s="1"/>
      <x:c r="B1850" s="1"/>
      <x:c r="C1850" s="1"/>
      <x:c r="D1850" s="1"/>
      <x:c r="E1850" s="1"/>
      <x:c r="F1850" s="1"/>
    </x:row>
    <x:row r="1851">
      <x:c r="A1851" s="1"/>
      <x:c r="B1851" s="1"/>
      <x:c r="C1851" s="1"/>
      <x:c r="D1851" s="1"/>
      <x:c r="E1851" s="1"/>
      <x:c r="F1851" s="1"/>
    </x:row>
    <x:row r="1852">
      <x:c r="A1852" s="1"/>
      <x:c r="B1852" s="1"/>
      <x:c r="C1852" s="1"/>
      <x:c r="D1852" s="1"/>
      <x:c r="E1852" s="1"/>
      <x:c r="F1852" s="1"/>
    </x:row>
    <x:row r="1853">
      <x:c r="A1853" s="1"/>
      <x:c r="B1853" s="1"/>
      <x:c r="C1853" s="1"/>
      <x:c r="D1853" s="1"/>
      <x:c r="E1853" s="1"/>
      <x:c r="F1853" s="1"/>
    </x:row>
    <x:row r="1854">
      <x:c r="A1854" s="1"/>
      <x:c r="B1854" s="1"/>
      <x:c r="C1854" s="1"/>
      <x:c r="D1854" s="1"/>
      <x:c r="E1854" s="1"/>
      <x:c r="F1854" s="1"/>
    </x:row>
    <x:row r="1855">
      <x:c r="A1855" s="1"/>
      <x:c r="B1855" s="1"/>
      <x:c r="C1855" s="1"/>
      <x:c r="D1855" s="1"/>
      <x:c r="E1855" s="1"/>
      <x:c r="F1855" s="1"/>
    </x:row>
    <x:row r="1856">
      <x:c r="A1856" s="1"/>
      <x:c r="B1856" s="1"/>
      <x:c r="C1856" s="1"/>
      <x:c r="D1856" s="1"/>
      <x:c r="E1856" s="1"/>
      <x:c r="F1856" s="1"/>
    </x:row>
    <x:row r="1857">
      <x:c r="A1857" s="1"/>
      <x:c r="B1857" s="1"/>
      <x:c r="C1857" s="1"/>
      <x:c r="D1857" s="1"/>
      <x:c r="E1857" s="1"/>
      <x:c r="F1857" s="1"/>
    </x:row>
    <x:row r="1858">
      <x:c r="A1858" s="1"/>
      <x:c r="B1858" s="1"/>
      <x:c r="C1858" s="1"/>
      <x:c r="D1858" s="1"/>
      <x:c r="E1858" s="1"/>
      <x:c r="F1858" s="1"/>
    </x:row>
    <x:row r="1859">
      <x:c r="A1859" s="1"/>
      <x:c r="B1859" s="1"/>
      <x:c r="C1859" s="1"/>
      <x:c r="D1859" s="1"/>
      <x:c r="E1859" s="1"/>
      <x:c r="F1859" s="1"/>
    </x:row>
    <x:row r="1860">
      <x:c r="A1860" s="1"/>
      <x:c r="B1860" s="1"/>
      <x:c r="C1860" s="1"/>
      <x:c r="D1860" s="1"/>
      <x:c r="E1860" s="1"/>
      <x:c r="F1860" s="1"/>
    </x:row>
    <x:row r="1861">
      <x:c r="A1861" s="1"/>
      <x:c r="B1861" s="1"/>
      <x:c r="C1861" s="1"/>
      <x:c r="D1861" s="1"/>
      <x:c r="E1861" s="1"/>
      <x:c r="F1861" s="1"/>
    </x:row>
    <x:row r="1862">
      <x:c r="A1862" s="1"/>
      <x:c r="B1862" s="1"/>
      <x:c r="C1862" s="1"/>
      <x:c r="D1862" s="1"/>
      <x:c r="E1862" s="1"/>
      <x:c r="F1862" s="1"/>
    </x:row>
    <x:row r="1863">
      <x:c r="A1863" s="1"/>
      <x:c r="B1863" s="1"/>
      <x:c r="C1863" s="1"/>
      <x:c r="D1863" s="1"/>
      <x:c r="E1863" s="1"/>
      <x:c r="F1863" s="1"/>
    </x:row>
    <x:row r="1864">
      <x:c r="A1864" s="1"/>
      <x:c r="B1864" s="1"/>
      <x:c r="C1864" s="1"/>
      <x:c r="D1864" s="1"/>
      <x:c r="E1864" s="1"/>
      <x:c r="F1864" s="1"/>
    </x:row>
    <x:row r="1865">
      <x:c r="A1865" s="1"/>
      <x:c r="B1865" s="1"/>
      <x:c r="C1865" s="1"/>
      <x:c r="D1865" s="1"/>
      <x:c r="E1865" s="1"/>
      <x:c r="F1865" s="1"/>
    </x:row>
    <x:row r="1866">
      <x:c r="A1866" s="1"/>
      <x:c r="B1866" s="1"/>
      <x:c r="C1866" s="1"/>
      <x:c r="D1866" s="1"/>
      <x:c r="E1866" s="1"/>
      <x:c r="F1866" s="1"/>
    </x:row>
    <x:row r="1867">
      <x:c r="A1867" s="1"/>
      <x:c r="B1867" s="1"/>
      <x:c r="C1867" s="1"/>
      <x:c r="D1867" s="1"/>
      <x:c r="E1867" s="1"/>
      <x:c r="F1867" s="1"/>
    </x:row>
    <x:row r="1868">
      <x:c r="A1868" s="1"/>
      <x:c r="B1868" s="1"/>
      <x:c r="C1868" s="1"/>
      <x:c r="D1868" s="1"/>
      <x:c r="E1868" s="1"/>
      <x:c r="F1868" s="1"/>
    </x:row>
    <x:row r="1869">
      <x:c r="A1869" s="1"/>
      <x:c r="B1869" s="1"/>
      <x:c r="C1869" s="1"/>
      <x:c r="D1869" s="1"/>
      <x:c r="E1869" s="1"/>
      <x:c r="F1869" s="1"/>
    </x:row>
    <x:row r="1870">
      <x:c r="A1870" s="1"/>
      <x:c r="B1870" s="1"/>
      <x:c r="C1870" s="1"/>
      <x:c r="D1870" s="1"/>
      <x:c r="E1870" s="1"/>
      <x:c r="F1870" s="1"/>
    </x:row>
    <x:row r="1871">
      <x:c r="A1871" s="1"/>
      <x:c r="B1871" s="1"/>
      <x:c r="C1871" s="1"/>
      <x:c r="D1871" s="1"/>
      <x:c r="E1871" s="1"/>
      <x:c r="F1871" s="1"/>
    </x:row>
    <x:row r="1872">
      <x:c r="A1872" s="1"/>
      <x:c r="B1872" s="1"/>
      <x:c r="C1872" s="1"/>
      <x:c r="D1872" s="1"/>
      <x:c r="E1872" s="1"/>
      <x:c r="F1872" s="1"/>
    </x:row>
    <x:row r="1873">
      <x:c r="A1873" s="1"/>
      <x:c r="B1873" s="1"/>
      <x:c r="C1873" s="1"/>
      <x:c r="D1873" s="1"/>
      <x:c r="E1873" s="1"/>
      <x:c r="F1873" s="1"/>
    </x:row>
    <x:row r="1874">
      <x:c r="A1874" s="1"/>
      <x:c r="B1874" s="1"/>
      <x:c r="C1874" s="1"/>
      <x:c r="D1874" s="1"/>
      <x:c r="E1874" s="1"/>
      <x:c r="F1874" s="1"/>
    </x:row>
    <x:row r="1875">
      <x:c r="A1875" s="1"/>
      <x:c r="B1875" s="1"/>
      <x:c r="C1875" s="1"/>
      <x:c r="D1875" s="1"/>
      <x:c r="E1875" s="1"/>
      <x:c r="F1875" s="1"/>
    </x:row>
    <x:row r="1876">
      <x:c r="A1876" s="1"/>
      <x:c r="B1876" s="1"/>
      <x:c r="C1876" s="1"/>
      <x:c r="D1876" s="1"/>
      <x:c r="E1876" s="1"/>
      <x:c r="F1876" s="1"/>
    </x:row>
    <x:row r="1877">
      <x:c r="A1877" s="1"/>
      <x:c r="B1877" s="1"/>
      <x:c r="C1877" s="1"/>
      <x:c r="D1877" s="1"/>
      <x:c r="E1877" s="1"/>
      <x:c r="F1877" s="1"/>
    </x:row>
    <x:row r="1878">
      <x:c r="A1878" s="1"/>
      <x:c r="B1878" s="1"/>
      <x:c r="C1878" s="1"/>
      <x:c r="D1878" s="1"/>
      <x:c r="E1878" s="1"/>
      <x:c r="F1878" s="1"/>
    </x:row>
    <x:row r="1879">
      <x:c r="A1879" s="1"/>
      <x:c r="B1879" s="1"/>
      <x:c r="C1879" s="1"/>
      <x:c r="D1879" s="1"/>
      <x:c r="E1879" s="1"/>
      <x:c r="F1879" s="1"/>
    </x:row>
    <x:row r="1880">
      <x:c r="A1880" s="1"/>
      <x:c r="B1880" s="1"/>
      <x:c r="C1880" s="1"/>
      <x:c r="D1880" s="1"/>
      <x:c r="E1880" s="1"/>
      <x:c r="F1880" s="1"/>
    </x:row>
    <x:row r="1881">
      <x:c r="A1881" s="1"/>
      <x:c r="B1881" s="1"/>
      <x:c r="C1881" s="1"/>
      <x:c r="D1881" s="1"/>
      <x:c r="E1881" s="1"/>
      <x:c r="F1881" s="1"/>
    </x:row>
    <x:row r="1882">
      <x:c r="A1882" s="1"/>
      <x:c r="B1882" s="1"/>
      <x:c r="C1882" s="1"/>
      <x:c r="D1882" s="1"/>
      <x:c r="E1882" s="1"/>
      <x:c r="F1882" s="1"/>
    </x:row>
    <x:row r="1883">
      <x:c r="A1883" s="1"/>
      <x:c r="B1883" s="1"/>
      <x:c r="C1883" s="1"/>
      <x:c r="D1883" s="1"/>
      <x:c r="E1883" s="1"/>
      <x:c r="F1883" s="1"/>
    </x:row>
    <x:row r="1884">
      <x:c r="A1884" s="1"/>
      <x:c r="B1884" s="1"/>
      <x:c r="C1884" s="1"/>
      <x:c r="D1884" s="1"/>
      <x:c r="E1884" s="1"/>
      <x:c r="F1884" s="1"/>
    </x:row>
    <x:row r="1885">
      <x:c r="A1885" s="1"/>
      <x:c r="B1885" s="1"/>
      <x:c r="C1885" s="1"/>
      <x:c r="D1885" s="1"/>
      <x:c r="E1885" s="1"/>
      <x:c r="F1885" s="1"/>
    </x:row>
    <x:row r="1886">
      <x:c r="A1886" s="1"/>
      <x:c r="B1886" s="1"/>
      <x:c r="C1886" s="1"/>
      <x:c r="D1886" s="1"/>
      <x:c r="E1886" s="1"/>
      <x:c r="F1886" s="1"/>
    </x:row>
    <x:row r="1887">
      <x:c r="A1887" s="1"/>
      <x:c r="B1887" s="1"/>
      <x:c r="C1887" s="1"/>
      <x:c r="D1887" s="1"/>
      <x:c r="E1887" s="1"/>
      <x:c r="F1887" s="1"/>
    </x:row>
    <x:row r="1888">
      <x:c r="A1888" s="1"/>
      <x:c r="B1888" s="1"/>
      <x:c r="C1888" s="1"/>
      <x:c r="D1888" s="1"/>
      <x:c r="E1888" s="1"/>
      <x:c r="F1888" s="1"/>
    </x:row>
    <x:row r="1889">
      <x:c r="A1889" s="1"/>
      <x:c r="B1889" s="1"/>
      <x:c r="C1889" s="1"/>
      <x:c r="D1889" s="1"/>
      <x:c r="E1889" s="1"/>
      <x:c r="F1889" s="1"/>
    </x:row>
    <x:row r="1890">
      <x:c r="A1890" s="1"/>
      <x:c r="B1890" s="1"/>
      <x:c r="C1890" s="1"/>
      <x:c r="D1890" s="1"/>
      <x:c r="E1890" s="1"/>
      <x:c r="F1890" s="1"/>
    </x:row>
    <x:row r="1891">
      <x:c r="A1891" s="1"/>
      <x:c r="B1891" s="1"/>
      <x:c r="C1891" s="1"/>
      <x:c r="D1891" s="1"/>
      <x:c r="E1891" s="1"/>
      <x:c r="F1891" s="1"/>
    </x:row>
    <x:row r="1892">
      <x:c r="A1892" s="1"/>
      <x:c r="B1892" s="1"/>
      <x:c r="C1892" s="1"/>
      <x:c r="D1892" s="1"/>
      <x:c r="E1892" s="1"/>
      <x:c r="F1892" s="1"/>
    </x:row>
    <x:row r="1893">
      <x:c r="A1893" s="1"/>
      <x:c r="B1893" s="1"/>
      <x:c r="C1893" s="1"/>
      <x:c r="D1893" s="1"/>
      <x:c r="E1893" s="1"/>
      <x:c r="F1893" s="1"/>
    </x:row>
    <x:row r="1894">
      <x:c r="A1894" s="1"/>
      <x:c r="B1894" s="1"/>
      <x:c r="C1894" s="1"/>
      <x:c r="D1894" s="1"/>
      <x:c r="E1894" s="1"/>
      <x:c r="F1894" s="1"/>
    </x:row>
    <x:row r="1895">
      <x:c r="A1895" s="1"/>
      <x:c r="B1895" s="1"/>
      <x:c r="C1895" s="1"/>
      <x:c r="D1895" s="1"/>
      <x:c r="E1895" s="1"/>
      <x:c r="F1895" s="1"/>
    </x:row>
    <x:row r="1896">
      <x:c r="A1896" s="1"/>
      <x:c r="B1896" s="1"/>
      <x:c r="C1896" s="1"/>
      <x:c r="D1896" s="1"/>
      <x:c r="E1896" s="1"/>
      <x:c r="F1896" s="1"/>
    </x:row>
    <x:row r="1897">
      <x:c r="A1897" s="1"/>
      <x:c r="B1897" s="1"/>
      <x:c r="C1897" s="1"/>
      <x:c r="D1897" s="1"/>
      <x:c r="E1897" s="1"/>
      <x:c r="F1897" s="1"/>
    </x:row>
    <x:row r="1898">
      <x:c r="A1898" s="1"/>
      <x:c r="B1898" s="1"/>
      <x:c r="C1898" s="1"/>
      <x:c r="D1898" s="1"/>
      <x:c r="E1898" s="1"/>
      <x:c r="F1898" s="1"/>
    </x:row>
    <x:row r="1899">
      <x:c r="A1899" s="1"/>
      <x:c r="B1899" s="1"/>
      <x:c r="C1899" s="1"/>
      <x:c r="D1899" s="1"/>
      <x:c r="E1899" s="1"/>
      <x:c r="F1899" s="1"/>
    </x:row>
    <x:row r="1900">
      <x:c r="A1900" s="1"/>
      <x:c r="B1900" s="1"/>
      <x:c r="C1900" s="1"/>
      <x:c r="D1900" s="1"/>
      <x:c r="E1900" s="1"/>
      <x:c r="F1900" s="1"/>
    </x:row>
    <x:row r="1901">
      <x:c r="A1901" s="1"/>
      <x:c r="B1901" s="1"/>
      <x:c r="C1901" s="1"/>
      <x:c r="D1901" s="1"/>
      <x:c r="E1901" s="1"/>
      <x:c r="F1901" s="1"/>
    </x:row>
    <x:row r="1902">
      <x:c r="A1902" s="1"/>
      <x:c r="B1902" s="1"/>
      <x:c r="C1902" s="1"/>
      <x:c r="D1902" s="1"/>
      <x:c r="E1902" s="1"/>
      <x:c r="F1902" s="1"/>
    </x:row>
    <x:row r="1903">
      <x:c r="A1903" s="1"/>
      <x:c r="B1903" s="1"/>
      <x:c r="C1903" s="1"/>
      <x:c r="D1903" s="1"/>
      <x:c r="E1903" s="1"/>
      <x:c r="F1903" s="1"/>
    </x:row>
    <x:row r="1904">
      <x:c r="A1904" s="1"/>
      <x:c r="B1904" s="1"/>
      <x:c r="C1904" s="1"/>
      <x:c r="D1904" s="1"/>
      <x:c r="E1904" s="1"/>
      <x:c r="F1904" s="1"/>
    </x:row>
    <x:row r="1905">
      <x:c r="A1905" s="1"/>
      <x:c r="B1905" s="1"/>
      <x:c r="C1905" s="1"/>
      <x:c r="D1905" s="1"/>
      <x:c r="E1905" s="1"/>
      <x:c r="F1905" s="1"/>
    </x:row>
    <x:row r="1906">
      <x:c r="A1906" s="1"/>
      <x:c r="B1906" s="1"/>
      <x:c r="C1906" s="1"/>
      <x:c r="D1906" s="1"/>
      <x:c r="E1906" s="1"/>
      <x:c r="F1906" s="1"/>
    </x:row>
    <x:row r="1907">
      <x:c r="A1907" s="1"/>
      <x:c r="B1907" s="1"/>
      <x:c r="C1907" s="1"/>
      <x:c r="D1907" s="1"/>
      <x:c r="E1907" s="1"/>
      <x:c r="F1907" s="1"/>
    </x:row>
    <x:row r="1908">
      <x:c r="A1908" s="1"/>
      <x:c r="B1908" s="1"/>
      <x:c r="C1908" s="1"/>
      <x:c r="D1908" s="1"/>
      <x:c r="E1908" s="1"/>
      <x:c r="F1908" s="1"/>
    </x:row>
    <x:row r="1909">
      <x:c r="A1909" s="1"/>
      <x:c r="B1909" s="1"/>
      <x:c r="C1909" s="1"/>
      <x:c r="D1909" s="1"/>
      <x:c r="E1909" s="1"/>
      <x:c r="F1909" s="1"/>
    </x:row>
    <x:row r="1910">
      <x:c r="A1910" s="1"/>
      <x:c r="B1910" s="1"/>
      <x:c r="C1910" s="1"/>
      <x:c r="D1910" s="1"/>
      <x:c r="E1910" s="1"/>
      <x:c r="F1910" s="1"/>
    </x:row>
    <x:row r="1911">
      <x:c r="A1911" s="1"/>
      <x:c r="B1911" s="1"/>
      <x:c r="C1911" s="1"/>
      <x:c r="D1911" s="1"/>
      <x:c r="E1911" s="1"/>
      <x:c r="F1911" s="1"/>
    </x:row>
    <x:row r="1912">
      <x:c r="A1912" s="1"/>
      <x:c r="B1912" s="1"/>
      <x:c r="C1912" s="1"/>
      <x:c r="D1912" s="1"/>
      <x:c r="E1912" s="1"/>
      <x:c r="F1912" s="1"/>
    </x:row>
    <x:row r="1913">
      <x:c r="A1913" s="1"/>
      <x:c r="B1913" s="1"/>
      <x:c r="C1913" s="1"/>
      <x:c r="D1913" s="1"/>
      <x:c r="E1913" s="1"/>
      <x:c r="F1913" s="1"/>
    </x:row>
    <x:row r="1914">
      <x:c r="A1914" s="1"/>
      <x:c r="B1914" s="1"/>
      <x:c r="C1914" s="1"/>
      <x:c r="D1914" s="1"/>
      <x:c r="E1914" s="1"/>
      <x:c r="F1914" s="1"/>
    </x:row>
    <x:row r="1915">
      <x:c r="A1915" s="1"/>
      <x:c r="B1915" s="1"/>
      <x:c r="C1915" s="1"/>
      <x:c r="D1915" s="1"/>
      <x:c r="E1915" s="1"/>
      <x:c r="F1915" s="1"/>
    </x:row>
    <x:row r="1916">
      <x:c r="A1916" s="1"/>
      <x:c r="B1916" s="1"/>
      <x:c r="C1916" s="1"/>
      <x:c r="D1916" s="1"/>
      <x:c r="E1916" s="1"/>
      <x:c r="F1916" s="1"/>
    </x:row>
    <x:row r="1917">
      <x:c r="A1917" s="1"/>
      <x:c r="B1917" s="1"/>
      <x:c r="C1917" s="1"/>
      <x:c r="D1917" s="1"/>
      <x:c r="E1917" s="1"/>
      <x:c r="F1917" s="1"/>
    </x:row>
    <x:row r="1918">
      <x:c r="A1918" s="1"/>
      <x:c r="B1918" s="1"/>
      <x:c r="C1918" s="1"/>
      <x:c r="D1918" s="1"/>
      <x:c r="E1918" s="1"/>
      <x:c r="F1918" s="1"/>
    </x:row>
    <x:row r="1919">
      <x:c r="A1919" s="1"/>
      <x:c r="B1919" s="1"/>
      <x:c r="C1919" s="1"/>
      <x:c r="D1919" s="1"/>
      <x:c r="E1919" s="1"/>
      <x:c r="F1919" s="1"/>
    </x:row>
    <x:row r="1920">
      <x:c r="A1920" s="1"/>
      <x:c r="B1920" s="1"/>
      <x:c r="C1920" s="1"/>
      <x:c r="D1920" s="1"/>
      <x:c r="E1920" s="1"/>
      <x:c r="F1920" s="1"/>
    </x:row>
    <x:row r="1921">
      <x:c r="A1921" s="1"/>
      <x:c r="B1921" s="1"/>
      <x:c r="C1921" s="1"/>
      <x:c r="D1921" s="1"/>
      <x:c r="E1921" s="1"/>
      <x:c r="F1921" s="1"/>
    </x:row>
    <x:row r="1922">
      <x:c r="A1922" s="1"/>
      <x:c r="B1922" s="1"/>
      <x:c r="C1922" s="1"/>
      <x:c r="D1922" s="1"/>
      <x:c r="E1922" s="1"/>
      <x:c r="F1922" s="1"/>
    </x:row>
    <x:row r="1923">
      <x:c r="A1923" s="1"/>
      <x:c r="B1923" s="1"/>
      <x:c r="C1923" s="1"/>
      <x:c r="D1923" s="1"/>
      <x:c r="E1923" s="1"/>
      <x:c r="F1923" s="1"/>
    </x:row>
    <x:row r="1924">
      <x:c r="A1924" s="1"/>
      <x:c r="B1924" s="1"/>
      <x:c r="C1924" s="1"/>
      <x:c r="D1924" s="1"/>
      <x:c r="E1924" s="1"/>
      <x:c r="F1924" s="1"/>
    </x:row>
    <x:row r="1925">
      <x:c r="A1925" s="1"/>
      <x:c r="B1925" s="1"/>
      <x:c r="C1925" s="1"/>
      <x:c r="D1925" s="1"/>
      <x:c r="E1925" s="1"/>
      <x:c r="F1925" s="1"/>
    </x:row>
    <x:row r="1926">
      <x:c r="A1926" s="1"/>
      <x:c r="B1926" s="1"/>
      <x:c r="C1926" s="1"/>
      <x:c r="D1926" s="1"/>
      <x:c r="E1926" s="1"/>
      <x:c r="F1926" s="1"/>
    </x:row>
    <x:row r="1927">
      <x:c r="A1927" s="1"/>
      <x:c r="B1927" s="1"/>
      <x:c r="C1927" s="1"/>
      <x:c r="D1927" s="1"/>
      <x:c r="E1927" s="1"/>
      <x:c r="F1927" s="1"/>
    </x:row>
    <x:row r="1928">
      <x:c r="A1928" s="1"/>
      <x:c r="B1928" s="1"/>
      <x:c r="C1928" s="1"/>
      <x:c r="D1928" s="1"/>
      <x:c r="E1928" s="1"/>
      <x:c r="F1928" s="1"/>
    </x:row>
    <x:row r="1929">
      <x:c r="A1929" s="1"/>
      <x:c r="B1929" s="1"/>
      <x:c r="C1929" s="1"/>
      <x:c r="D1929" s="1"/>
      <x:c r="E1929" s="1"/>
      <x:c r="F1929" s="1"/>
    </x:row>
    <x:row r="1930">
      <x:c r="A1930" s="1"/>
      <x:c r="B1930" s="1"/>
      <x:c r="C1930" s="1"/>
      <x:c r="D1930" s="1"/>
      <x:c r="E1930" s="1"/>
      <x:c r="F1930" s="1"/>
    </x:row>
    <x:row r="1931">
      <x:c r="A1931" s="1"/>
      <x:c r="B1931" s="1"/>
      <x:c r="C1931" s="1"/>
      <x:c r="D1931" s="1"/>
      <x:c r="E1931" s="1"/>
      <x:c r="F1931" s="1"/>
    </x:row>
    <x:row r="1932">
      <x:c r="A1932" s="1"/>
      <x:c r="B1932" s="1"/>
      <x:c r="C1932" s="1"/>
      <x:c r="D1932" s="1"/>
      <x:c r="E1932" s="1"/>
      <x:c r="F1932" s="1"/>
    </x:row>
    <x:row r="1933">
      <x:c r="A1933" s="1"/>
      <x:c r="B1933" s="1"/>
      <x:c r="C1933" s="1"/>
      <x:c r="D1933" s="1"/>
      <x:c r="E1933" s="1"/>
      <x:c r="F1933" s="1"/>
    </x:row>
    <x:row r="1934">
      <x:c r="A1934" s="1"/>
      <x:c r="B1934" s="1"/>
      <x:c r="C1934" s="1"/>
      <x:c r="D1934" s="1"/>
      <x:c r="E1934" s="1"/>
      <x:c r="F1934" s="1"/>
    </x:row>
    <x:row r="1935">
      <x:c r="A1935" s="1"/>
      <x:c r="B1935" s="1"/>
      <x:c r="C1935" s="1"/>
      <x:c r="D1935" s="1"/>
      <x:c r="E1935" s="1"/>
      <x:c r="F1935" s="1"/>
    </x:row>
    <x:row r="1936">
      <x:c r="A1936" s="1"/>
      <x:c r="B1936" s="1"/>
      <x:c r="C1936" s="1"/>
      <x:c r="D1936" s="1"/>
      <x:c r="E1936" s="1"/>
      <x:c r="F1936" s="1"/>
    </x:row>
    <x:row r="1937">
      <x:c r="A1937" s="1"/>
      <x:c r="B1937" s="1"/>
      <x:c r="C1937" s="1"/>
      <x:c r="D1937" s="1"/>
      <x:c r="E1937" s="1"/>
      <x:c r="F1937" s="1"/>
    </x:row>
    <x:row r="1938">
      <x:c r="A1938" s="1"/>
      <x:c r="B1938" s="1"/>
      <x:c r="C1938" s="1"/>
      <x:c r="D1938" s="1"/>
      <x:c r="E1938" s="1"/>
      <x:c r="F1938" s="1"/>
    </x:row>
    <x:row r="1939">
      <x:c r="A1939" s="1"/>
      <x:c r="B1939" s="1"/>
      <x:c r="C1939" s="1"/>
      <x:c r="D1939" s="1"/>
      <x:c r="E1939" s="1"/>
      <x:c r="F1939" s="1"/>
    </x:row>
    <x:row r="1940">
      <x:c r="A1940" s="1"/>
      <x:c r="B1940" s="1"/>
      <x:c r="C1940" s="1"/>
      <x:c r="D1940" s="1"/>
      <x:c r="E1940" s="1"/>
      <x:c r="F1940" s="1"/>
    </x:row>
    <x:row r="1941">
      <x:c r="A1941" s="1"/>
      <x:c r="B1941" s="1"/>
      <x:c r="C1941" s="1"/>
      <x:c r="D1941" s="1"/>
      <x:c r="E1941" s="1"/>
      <x:c r="F1941" s="1"/>
    </x:row>
    <x:row r="1942">
      <x:c r="A1942" s="1"/>
      <x:c r="B1942" s="1"/>
      <x:c r="C1942" s="1"/>
      <x:c r="D1942" s="1"/>
      <x:c r="E1942" s="1"/>
      <x:c r="F1942" s="1"/>
    </x:row>
    <x:row r="1943">
      <x:c r="A1943" s="1"/>
      <x:c r="B1943" s="1"/>
      <x:c r="C1943" s="1"/>
      <x:c r="D1943" s="1"/>
      <x:c r="E1943" s="1"/>
      <x:c r="F1943" s="1"/>
    </x:row>
    <x:row r="1944">
      <x:c r="A1944" s="1"/>
      <x:c r="B1944" s="1"/>
      <x:c r="C1944" s="1"/>
      <x:c r="D1944" s="1"/>
      <x:c r="E1944" s="1"/>
      <x:c r="F1944" s="1"/>
    </x:row>
    <x:row r="1945">
      <x:c r="A1945" s="1"/>
      <x:c r="B1945" s="1"/>
      <x:c r="C1945" s="1"/>
      <x:c r="D1945" s="1"/>
      <x:c r="E1945" s="1"/>
      <x:c r="F1945" s="1"/>
    </x:row>
    <x:row r="1946">
      <x:c r="A1946" s="1"/>
      <x:c r="B1946" s="1"/>
      <x:c r="C1946" s="1"/>
      <x:c r="D1946" s="1"/>
      <x:c r="E1946" s="1"/>
      <x:c r="F1946" s="1"/>
    </x:row>
    <x:row r="1947">
      <x:c r="A1947" s="1"/>
      <x:c r="B1947" s="1"/>
      <x:c r="C1947" s="1"/>
      <x:c r="D1947" s="1"/>
      <x:c r="E1947" s="1"/>
      <x:c r="F1947" s="1"/>
    </x:row>
    <x:row r="1948">
      <x:c r="A1948" s="1"/>
      <x:c r="B1948" s="1"/>
      <x:c r="C1948" s="1"/>
      <x:c r="D1948" s="1"/>
      <x:c r="E1948" s="1"/>
      <x:c r="F1948" s="1"/>
    </x:row>
    <x:row r="1949">
      <x:c r="A1949" s="1"/>
      <x:c r="B1949" s="1"/>
      <x:c r="C1949" s="1"/>
      <x:c r="D1949" s="1"/>
      <x:c r="E1949" s="1"/>
      <x:c r="F1949" s="1"/>
    </x:row>
    <x:row r="1950">
      <x:c r="A1950" s="1"/>
      <x:c r="B1950" s="1"/>
      <x:c r="C1950" s="1"/>
      <x:c r="D1950" s="1"/>
      <x:c r="E1950" s="1"/>
      <x:c r="F1950" s="1"/>
    </x:row>
    <x:row r="1951">
      <x:c r="A1951" s="1"/>
      <x:c r="B1951" s="1"/>
      <x:c r="C1951" s="1"/>
      <x:c r="D1951" s="1"/>
      <x:c r="E1951" s="1"/>
      <x:c r="F1951" s="1"/>
    </x:row>
    <x:row r="1952">
      <x:c r="A1952" s="1"/>
      <x:c r="B1952" s="1"/>
      <x:c r="C1952" s="1"/>
      <x:c r="D1952" s="1"/>
      <x:c r="E1952" s="1"/>
      <x:c r="F1952" s="1"/>
    </x:row>
    <x:row r="1953">
      <x:c r="A1953" s="1"/>
      <x:c r="B1953" s="1"/>
      <x:c r="C1953" s="1"/>
      <x:c r="D1953" s="1"/>
      <x:c r="E1953" s="1"/>
      <x:c r="F1953" s="1"/>
    </x:row>
    <x:row r="1954">
      <x:c r="A1954" s="1"/>
      <x:c r="B1954" s="1"/>
      <x:c r="C1954" s="1"/>
      <x:c r="D1954" s="1"/>
      <x:c r="E1954" s="1"/>
      <x:c r="F1954" s="1"/>
    </x:row>
    <x:row r="1955">
      <x:c r="A1955" s="1"/>
      <x:c r="B1955" s="1"/>
      <x:c r="C1955" s="1"/>
      <x:c r="D1955" s="1"/>
      <x:c r="E1955" s="1"/>
      <x:c r="F1955" s="1"/>
    </x:row>
    <x:row r="1956">
      <x:c r="A1956" s="1"/>
      <x:c r="B1956" s="1"/>
      <x:c r="C1956" s="1"/>
      <x:c r="D1956" s="1"/>
      <x:c r="E1956" s="1"/>
      <x:c r="F1956" s="1"/>
    </x:row>
    <x:row r="1957">
      <x:c r="A1957" s="1"/>
      <x:c r="B1957" s="1"/>
      <x:c r="C1957" s="1"/>
      <x:c r="D1957" s="1"/>
      <x:c r="E1957" s="1"/>
      <x:c r="F1957" s="1"/>
    </x:row>
    <x:row r="1958">
      <x:c r="A1958" s="1"/>
      <x:c r="B1958" s="1"/>
      <x:c r="C1958" s="1"/>
      <x:c r="D1958" s="1"/>
      <x:c r="E1958" s="1"/>
      <x:c r="F1958" s="1"/>
    </x:row>
    <x:row r="1959">
      <x:c r="A1959" s="1"/>
      <x:c r="B1959" s="1"/>
      <x:c r="C1959" s="1"/>
      <x:c r="D1959" s="1"/>
      <x:c r="E1959" s="1"/>
      <x:c r="F1959" s="1"/>
    </x:row>
    <x:row r="1960">
      <x:c r="A1960" s="1"/>
      <x:c r="B1960" s="1"/>
      <x:c r="C1960" s="1"/>
      <x:c r="D1960" s="1"/>
      <x:c r="E1960" s="1"/>
      <x:c r="F1960" s="1"/>
    </x:row>
    <x:row r="1961">
      <x:c r="A1961" s="1"/>
      <x:c r="B1961" s="1"/>
      <x:c r="C1961" s="1"/>
      <x:c r="D1961" s="1"/>
      <x:c r="E1961" s="1"/>
      <x:c r="F1961" s="1"/>
    </x:row>
    <x:row r="1962">
      <x:c r="A1962" s="1"/>
      <x:c r="B1962" s="1"/>
      <x:c r="C1962" s="1"/>
      <x:c r="D1962" s="1"/>
      <x:c r="E1962" s="1"/>
      <x:c r="F1962" s="1"/>
    </x:row>
    <x:row r="1963">
      <x:c r="A1963" s="1"/>
      <x:c r="B1963" s="1"/>
      <x:c r="C1963" s="1"/>
      <x:c r="D1963" s="1"/>
      <x:c r="E1963" s="1"/>
      <x:c r="F1963" s="1"/>
    </x:row>
    <x:row r="1964">
      <x:c r="A1964" s="1"/>
      <x:c r="B1964" s="1"/>
      <x:c r="C1964" s="1"/>
      <x:c r="D1964" s="1"/>
      <x:c r="E1964" s="1"/>
      <x:c r="F1964" s="1"/>
    </x:row>
    <x:row r="1965">
      <x:c r="A1965" s="1"/>
      <x:c r="B1965" s="1"/>
      <x:c r="C1965" s="1"/>
      <x:c r="D1965" s="1"/>
      <x:c r="E1965" s="1"/>
      <x:c r="F1965" s="1"/>
    </x:row>
    <x:row r="1966">
      <x:c r="A1966" s="1"/>
      <x:c r="B1966" s="1"/>
      <x:c r="C1966" s="1"/>
      <x:c r="D1966" s="1"/>
      <x:c r="E1966" s="1"/>
      <x:c r="F1966" s="1"/>
    </x:row>
    <x:row r="1967">
      <x:c r="A1967" s="1"/>
      <x:c r="B1967" s="1"/>
      <x:c r="C1967" s="1"/>
      <x:c r="D1967" s="1"/>
      <x:c r="E1967" s="1"/>
      <x:c r="F1967" s="1"/>
    </x:row>
    <x:row r="1968">
      <x:c r="A1968" s="1"/>
      <x:c r="B1968" s="1"/>
      <x:c r="C1968" s="1"/>
      <x:c r="D1968" s="1"/>
      <x:c r="E1968" s="1"/>
      <x:c r="F1968" s="1"/>
    </x:row>
    <x:row r="1969">
      <x:c r="A1969" s="1"/>
      <x:c r="B1969" s="1"/>
      <x:c r="C1969" s="1"/>
      <x:c r="D1969" s="1"/>
      <x:c r="E1969" s="1"/>
      <x:c r="F1969" s="1"/>
    </x:row>
    <x:row r="1970">
      <x:c r="A1970" s="1"/>
      <x:c r="B1970" s="1"/>
      <x:c r="C1970" s="1"/>
      <x:c r="D1970" s="1"/>
      <x:c r="E1970" s="1"/>
      <x:c r="F1970" s="1"/>
    </x:row>
    <x:row r="1971">
      <x:c r="A1971" s="1"/>
      <x:c r="B1971" s="1"/>
      <x:c r="C1971" s="1"/>
      <x:c r="D1971" s="1"/>
      <x:c r="E1971" s="1"/>
      <x:c r="F1971" s="1"/>
    </x:row>
    <x:row r="1972">
      <x:c r="A1972" s="1"/>
      <x:c r="B1972" s="1"/>
      <x:c r="C1972" s="1"/>
      <x:c r="D1972" s="1"/>
      <x:c r="E1972" s="1"/>
      <x:c r="F1972" s="1"/>
    </x:row>
    <x:row r="1973">
      <x:c r="A1973" s="1"/>
      <x:c r="B1973" s="1"/>
      <x:c r="C1973" s="1"/>
      <x:c r="D1973" s="1"/>
      <x:c r="E1973" s="1"/>
      <x:c r="F1973" s="1"/>
    </x:row>
    <x:row r="1974">
      <x:c r="A1974" s="1"/>
      <x:c r="B1974" s="1"/>
      <x:c r="C1974" s="1"/>
      <x:c r="D1974" s="1"/>
      <x:c r="E1974" s="1"/>
      <x:c r="F1974" s="1"/>
    </x:row>
    <x:row r="1975">
      <x:c r="A1975" s="1"/>
      <x:c r="B1975" s="1"/>
      <x:c r="C1975" s="1"/>
      <x:c r="D1975" s="1"/>
      <x:c r="E1975" s="1"/>
      <x:c r="F1975" s="1"/>
    </x:row>
    <x:row r="1976">
      <x:c r="A1976" s="1"/>
      <x:c r="B1976" s="1"/>
      <x:c r="C1976" s="1"/>
      <x:c r="D1976" s="1"/>
      <x:c r="E1976" s="1"/>
      <x:c r="F1976" s="1"/>
    </x:row>
    <x:row r="1977">
      <x:c r="A1977" s="1"/>
      <x:c r="B1977" s="1"/>
      <x:c r="C1977" s="1"/>
      <x:c r="D1977" s="1"/>
      <x:c r="E1977" s="1"/>
      <x:c r="F1977" s="1"/>
    </x:row>
    <x:row r="1978">
      <x:c r="A1978" s="1"/>
      <x:c r="B1978" s="1"/>
      <x:c r="C1978" s="1"/>
      <x:c r="D1978" s="1"/>
      <x:c r="E1978" s="1"/>
      <x:c r="F1978" s="1"/>
    </x:row>
    <x:row r="1979">
      <x:c r="A1979" s="1"/>
      <x:c r="B1979" s="1"/>
      <x:c r="C1979" s="1"/>
      <x:c r="D1979" s="1"/>
      <x:c r="E1979" s="1"/>
      <x:c r="F1979" s="1"/>
    </x:row>
    <x:row r="1980">
      <x:c r="A1980" s="1"/>
      <x:c r="B1980" s="1"/>
      <x:c r="C1980" s="1"/>
      <x:c r="D1980" s="1"/>
      <x:c r="E1980" s="1"/>
      <x:c r="F1980" s="1"/>
    </x:row>
    <x:row r="1981">
      <x:c r="A1981" s="1"/>
      <x:c r="B1981" s="1"/>
      <x:c r="C1981" s="1"/>
      <x:c r="D1981" s="1"/>
      <x:c r="E1981" s="1"/>
      <x:c r="F1981" s="1"/>
    </x:row>
    <x:row r="1982">
      <x:c r="A1982" s="1"/>
      <x:c r="B1982" s="1"/>
      <x:c r="C1982" s="1"/>
      <x:c r="D1982" s="1"/>
      <x:c r="E1982" s="1"/>
      <x:c r="F1982" s="1"/>
    </x:row>
    <x:row r="1983">
      <x:c r="A1983" s="1"/>
      <x:c r="B1983" s="1"/>
      <x:c r="C1983" s="1"/>
      <x:c r="D1983" s="1"/>
      <x:c r="E1983" s="1"/>
      <x:c r="F1983" s="1"/>
    </x:row>
    <x:row r="1984">
      <x:c r="A1984" s="1"/>
      <x:c r="B1984" s="1"/>
      <x:c r="C1984" s="1"/>
      <x:c r="D1984" s="1"/>
      <x:c r="E1984" s="1"/>
      <x:c r="F1984" s="1"/>
    </x:row>
    <x:row r="1985">
      <x:c r="A1985" s="1"/>
      <x:c r="B1985" s="1"/>
      <x:c r="C1985" s="1"/>
      <x:c r="D1985" s="1"/>
      <x:c r="E1985" s="1"/>
      <x:c r="F1985" s="1"/>
    </x:row>
    <x:row r="1986">
      <x:c r="A1986" s="1"/>
      <x:c r="B1986" s="1"/>
      <x:c r="C1986" s="1"/>
      <x:c r="D1986" s="1"/>
      <x:c r="E1986" s="1"/>
      <x:c r="F1986" s="1"/>
    </x:row>
    <x:row r="1987">
      <x:c r="A1987" s="1"/>
      <x:c r="B1987" s="1"/>
      <x:c r="C1987" s="1"/>
      <x:c r="D1987" s="1"/>
      <x:c r="E1987" s="1"/>
      <x:c r="F1987" s="1"/>
    </x:row>
    <x:row r="1988">
      <x:c r="A1988" s="1"/>
      <x:c r="B1988" s="1"/>
      <x:c r="C1988" s="1"/>
      <x:c r="D1988" s="1"/>
      <x:c r="E1988" s="1"/>
      <x:c r="F1988" s="1"/>
    </x:row>
    <x:row r="1989">
      <x:c r="A1989" s="1"/>
      <x:c r="B1989" s="1"/>
      <x:c r="C1989" s="1"/>
      <x:c r="D1989" s="1"/>
      <x:c r="E1989" s="1"/>
      <x:c r="F1989" s="1"/>
    </x:row>
    <x:row r="1990">
      <x:c r="A1990" s="1"/>
      <x:c r="B1990" s="1"/>
      <x:c r="C1990" s="1"/>
      <x:c r="D1990" s="1"/>
      <x:c r="E1990" s="1"/>
      <x:c r="F1990" s="1"/>
    </x:row>
    <x:row r="1991">
      <x:c r="A1991" s="1"/>
      <x:c r="B1991" s="1"/>
      <x:c r="C1991" s="1"/>
      <x:c r="D1991" s="1"/>
      <x:c r="E1991" s="1"/>
      <x:c r="F1991" s="1"/>
    </x:row>
    <x:row r="1992">
      <x:c r="A1992" s="1"/>
      <x:c r="B1992" s="1"/>
      <x:c r="C1992" s="1"/>
      <x:c r="D1992" s="1"/>
      <x:c r="E1992" s="1"/>
      <x:c r="F1992" s="1"/>
    </x:row>
    <x:row r="1993">
      <x:c r="A1993" s="1"/>
      <x:c r="B1993" s="1"/>
      <x:c r="C1993" s="1"/>
      <x:c r="D1993" s="1"/>
      <x:c r="E1993" s="1"/>
      <x:c r="F1993" s="1"/>
    </x:row>
    <x:row r="1994">
      <x:c r="A1994" s="1"/>
      <x:c r="B1994" s="1"/>
      <x:c r="C1994" s="1"/>
      <x:c r="D1994" s="1"/>
      <x:c r="E1994" s="1"/>
      <x:c r="F1994" s="1"/>
    </x:row>
    <x:row r="1995">
      <x:c r="A1995" s="1"/>
      <x:c r="B1995" s="1"/>
      <x:c r="C1995" s="1"/>
      <x:c r="D1995" s="1"/>
      <x:c r="E1995" s="1"/>
      <x:c r="F1995" s="1"/>
    </x:row>
    <x:row r="1996">
      <x:c r="A1996" s="1"/>
      <x:c r="B1996" s="1"/>
      <x:c r="C1996" s="1"/>
      <x:c r="D1996" s="1"/>
      <x:c r="E1996" s="1"/>
      <x:c r="F1996" s="1"/>
    </x:row>
    <x:row r="1997">
      <x:c r="A1997" s="1"/>
      <x:c r="B1997" s="1"/>
      <x:c r="C1997" s="1"/>
      <x:c r="D1997" s="1"/>
      <x:c r="E1997" s="1"/>
      <x:c r="F1997" s="1"/>
    </x:row>
    <x:row r="1998">
      <x:c r="A1998" s="1"/>
      <x:c r="B1998" s="1"/>
      <x:c r="C1998" s="1"/>
      <x:c r="D1998" s="1"/>
      <x:c r="E1998" s="1"/>
      <x:c r="F1998" s="1"/>
    </x:row>
    <x:row r="1999">
      <x:c r="A1999" s="1"/>
      <x:c r="B1999" s="1"/>
      <x:c r="C1999" s="1"/>
      <x:c r="D1999" s="1"/>
      <x:c r="E1999" s="1"/>
      <x:c r="F1999" s="1"/>
    </x:row>
    <x:row r="2000">
      <x:c r="A2000" s="1"/>
      <x:c r="B2000" s="1"/>
      <x:c r="C2000" s="1"/>
      <x:c r="D2000" s="1"/>
      <x:c r="E2000" s="1"/>
      <x:c r="F2000" s="1"/>
    </x:row>
  </x:sheetData>
  <x:conditionalFormatting sqref="C6:C154">
    <x:cfRule type="containsText" dxfId="1" priority="1" operator="containsText" text="Ja"/>
    <x:cfRule type="containsText" dxfId="2" priority="2" operator="containsText" text="Nej"/>
  </x:conditionalFormatting>
  <x:pageMargins left="0.7" right="0.7" top="0.75" bottom="0.75" header="0.3" footer="0.3"/>
  <x:tableParts count="1">
    <x:tablePart xmlns:r="http://schemas.openxmlformats.org/officeDocument/2006/relationships" r:id="R5c7fcdda4f8d44c2"/>
  </x:tableParts>
</x:worksheet>
</file>